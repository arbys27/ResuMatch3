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Summary" sheetId="2" state="visible" r:id="rId4"/>
  </sheets>
  <definedNames>
    <definedName function="false" hidden="true" localSheetId="0" name="_xlnm._FilterDatabase" vbProcedure="false">'Test Cases'!$A$1:$K$17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<sst xmlns="http://schemas.openxmlformats.org/spreadsheetml/2006/main" count="164" uniqueCount="139">
  <si>
    <t xml:space="preserve">Requirement ID</t>
  </si>
  <si>
    <t xml:space="preserve">Requirement</t>
  </si>
  <si>
    <t xml:space="preserve">Test Case</t>
  </si>
  <si>
    <t xml:space="preserve">Test Case ID</t>
  </si>
  <si>
    <t xml:space="preserve">Test Case Description</t>
  </si>
  <si>
    <t xml:space="preserve">Test Steps</t>
  </si>
  <si>
    <t xml:space="preserve">Expected Result</t>
  </si>
  <si>
    <t xml:space="preserve">Actual Result</t>
  </si>
  <si>
    <t xml:space="preserve">Status</t>
  </si>
  <si>
    <t xml:space="preserve">Evidence</t>
  </si>
  <si>
    <t xml:space="preserve">Code Review Note</t>
  </si>
  <si>
    <t xml:space="preserve">REQ-REG-01</t>
  </si>
  <si>
    <t xml:space="preserve">User must choose a role before seeing the sign-up form</t>
  </si>
  <si>
    <t xml:space="preserve">Role selection screen</t>
  </si>
  <si>
    <t xml:space="preserve">TC-REG01</t>
  </si>
  <si>
    <t xml:space="preserve">Verify the sign-up page asks for role first (Job Seeker / Employer).</t>
  </si>
  <si>
    <t xml:space="preserve">1. Go to /signup
2. Observe the screen
3. Click 'I am a Job Seeker'
4. Click 'Back to selection'
5. Click 'I am an Employer'</t>
  </si>
  <si>
    <t xml:space="preserve">Step 2 shows 'How will you use ResuMatch?' with two role cards. Job Seeker shows Full Name, Email, Password. Back returns to selection. Employer shows the extra 'Company Name' field and label 'Work Email Address'.</t>
  </si>
  <si>
    <t xml:space="preserve">Not Run</t>
  </si>
  <si>
    <t xml:space="preserve">REQ-REG-02</t>
  </si>
  <si>
    <t xml:space="preserve">Job seeker can register with valid details</t>
  </si>
  <si>
    <t xml:space="preserve">Valid job seeker registration</t>
  </si>
  <si>
    <t xml:space="preserve">TC-REG02</t>
  </si>
  <si>
    <t xml:space="preserve">Register a brand-new job seeker account with valid data.</t>
  </si>
  <si>
    <t xml:space="preserve">1. /signup &gt; I am a Job Seeker
2. Full Name: QA Seeker One
3. Email: new unique email
4. Password: Test@1234
5. Tick Terms checkbox
6. Click Create account</t>
  </si>
  <si>
    <t xml:space="preserve">Account is created and user is redirected to /candidate-dashboard. Greeting shows the entered name. A row exists in Supabase auth.users with role = job_seeker.</t>
  </si>
  <si>
    <t xml:space="preserve">REQ-REG-03</t>
  </si>
  <si>
    <t xml:space="preserve">Employer can register with company name</t>
  </si>
  <si>
    <t xml:space="preserve">Valid employer registration</t>
  </si>
  <si>
    <t xml:space="preserve">TC-REG03</t>
  </si>
  <si>
    <t xml:space="preserve">Register a new recruiter account.</t>
  </si>
  <si>
    <t xml:space="preserve">1. /signup &gt; I am an Employer
2. Fill Full Name, Work Email, Company Name: QA Corp
3. Password: Test@1234
4. Tick Terms
5. Create account</t>
  </si>
  <si>
    <t xml:space="preserve">Redirected to /recruiter-dashboard ('Your hiring workspace'). user_metadata.role = recruiter and company_name = QA Corp.</t>
  </si>
  <si>
    <t xml:space="preserve">REQ-REG-04</t>
  </si>
  <si>
    <t xml:space="preserve">Password must be at least 8 characters with a number or symbol</t>
  </si>
  <si>
    <t xml:space="preserve">Password rule - too short</t>
  </si>
  <si>
    <t xml:space="preserve">TC-REG04</t>
  </si>
  <si>
    <t xml:space="preserve">Verify a 7-character password is rejected.</t>
  </si>
  <si>
    <t xml:space="preserve">1. Open Job Seeker form
2. Type password 'Abc@123' (7 chars)
3. Observe the rule hint and Create account button</t>
  </si>
  <si>
    <t xml:space="preserve">Rule hint stays grey (not green). Create account button is disabled.</t>
  </si>
  <si>
    <t xml:space="preserve">Button is disabled only when password length &gt; 0 and invalid (Signup.jsx line ~575).</t>
  </si>
  <si>
    <t xml:space="preserve">Password rule - letters only</t>
  </si>
  <si>
    <t xml:space="preserve">TC-REG05</t>
  </si>
  <si>
    <t xml:space="preserve">Verify an 8+ char password with no number/symbol is rejected.</t>
  </si>
  <si>
    <t xml:space="preserve">1. Type password 'abcdefgh'
2. Observe hint and button</t>
  </si>
  <si>
    <t xml:space="preserve">Hint stays grey; Create account disabled.</t>
  </si>
  <si>
    <t xml:space="preserve">Password rule - valid</t>
  </si>
  <si>
    <t xml:space="preserve">TC-REG06</t>
  </si>
  <si>
    <t xml:space="preserve">Verify a valid password turns the rule hint green.</t>
  </si>
  <si>
    <t xml:space="preserve">1. Type password 'abcdefg1'
2. Observe hint</t>
  </si>
  <si>
    <t xml:space="preserve">Hint turns green with a check icon; button enabled.</t>
  </si>
  <si>
    <t xml:space="preserve">REQ-REG-05</t>
  </si>
  <si>
    <t xml:space="preserve">User must accept Terms of Service</t>
  </si>
  <si>
    <t xml:space="preserve">Terms checkbox required</t>
  </si>
  <si>
    <t xml:space="preserve">TC-REG07</t>
  </si>
  <si>
    <t xml:space="preserve">Submit without ticking the Terms checkbox.</t>
  </si>
  <si>
    <t xml:space="preserve">1. Fill all fields validly
2. Leave Terms unticked
3. Click Create account</t>
  </si>
  <si>
    <t xml:space="preserve">Browser blocks submit and highlights the checkbox ('Please check this box'). No account created.</t>
  </si>
  <si>
    <t xml:space="preserve">REQ-REG-06</t>
  </si>
  <si>
    <t xml:space="preserve">Required fields must be filled</t>
  </si>
  <si>
    <t xml:space="preserve">Empty required fields</t>
  </si>
  <si>
    <t xml:space="preserve">TC-REG08</t>
  </si>
  <si>
    <t xml:space="preserve">Submit with Full Name / Email / Company Name empty.</t>
  </si>
  <si>
    <t xml:space="preserve">1. Employer form
2. Leave Company Name empty, fill the rest
3. Create account
4. Repeat leaving Full Name empty, then Email empty</t>
  </si>
  <si>
    <t xml:space="preserve">Each attempt is blocked by browser required-field validation. No account created.</t>
  </si>
  <si>
    <t xml:space="preserve">REQ-REG-07</t>
  </si>
  <si>
    <t xml:space="preserve">Email must be a valid format</t>
  </si>
  <si>
    <t xml:space="preserve">Invalid email format</t>
  </si>
  <si>
    <t xml:space="preserve">TC-REG09</t>
  </si>
  <si>
    <t xml:space="preserve">Enter an email without @ / domain.</t>
  </si>
  <si>
    <t xml:space="preserve">1. Email: qa.seeker
2. Fill other fields
3. Create account</t>
  </si>
  <si>
    <t xml:space="preserve">Browser shows 'Please include an @ in the email address'. No account created.</t>
  </si>
  <si>
    <t xml:space="preserve">REQ-REG-08</t>
  </si>
  <si>
    <t xml:space="preserve">Duplicate email must be rejected with a clear message</t>
  </si>
  <si>
    <t xml:space="preserve">Duplicate email registration</t>
  </si>
  <si>
    <t xml:space="preserve">TC-REG10</t>
  </si>
  <si>
    <t xml:space="preserve">Register again using an email that already exists. (Retest of BUG-001.)</t>
  </si>
  <si>
    <t xml:space="preserve">1. Use an email already registered
2. Fill valid data
3. Create account</t>
  </si>
  <si>
    <t xml:space="preserve">Red message: 'This email is already registered. Please sign in instead.' User stays on /signup. No second user row created.</t>
  </si>
  <si>
    <t xml:space="preserve">Code now detects Supabase's silent duplicate (identities.length === 0). Retest BUG-001 on a fresh deploy.</t>
  </si>
  <si>
    <t xml:space="preserve">REQ-REG-09</t>
  </si>
  <si>
    <t xml:space="preserve">Name fields must reject script / HTML characters</t>
  </si>
  <si>
    <t xml:space="preserve">XSS characters in Full Name</t>
  </si>
  <si>
    <t xml:space="preserve">TC-REG11</t>
  </si>
  <si>
    <t xml:space="preserve">Enter &lt; or &gt; in Full Name. (Retest of BUG_005 fix.)</t>
  </si>
  <si>
    <t xml:space="preserve">1. Full Name: &lt;script&gt;alert(1)&lt;/script&gt;
2. Fill the rest validly
3. Create account</t>
  </si>
  <si>
    <t xml:space="preserve">Error: 'Full Name contains invalid characters (e.g., &lt; or &gt;).' No account created, no alert pops up.</t>
  </si>
  <si>
    <t xml:space="preserve">XSS characters in Company Name</t>
  </si>
  <si>
    <t xml:space="preserve">TC-REG12</t>
  </si>
  <si>
    <t xml:space="preserve">Enter &lt; or &gt; in Company Name.</t>
  </si>
  <si>
    <t xml:space="preserve">1. Employer form
2. Company Name: &lt;b&gt;Corp&lt;/b&gt;
3. Create account</t>
  </si>
  <si>
    <t xml:space="preserve">Error: 'Company Name contains invalid characters.' No account created.</t>
  </si>
  <si>
    <t xml:space="preserve">REQ-REG-10</t>
  </si>
  <si>
    <t xml:space="preserve">Show/hide password toggle</t>
  </si>
  <si>
    <t xml:space="preserve">Password visibility toggle</t>
  </si>
  <si>
    <t xml:space="preserve">TC-REG13</t>
  </si>
  <si>
    <t xml:space="preserve">Toggle the eye icon on the password field.</t>
  </si>
  <si>
    <t xml:space="preserve">1. Type a password
2. Click eye icon
3. Click again</t>
  </si>
  <si>
    <t xml:space="preserve">Password shows as plain text, then masked again.</t>
  </si>
  <si>
    <t xml:space="preserve">REQ-REG-11</t>
  </si>
  <si>
    <t xml:space="preserve">Public profile row is created for new users</t>
  </si>
  <si>
    <t xml:space="preserve">Profile row created after sign-up</t>
  </si>
  <si>
    <t xml:space="preserve">TC-REG14</t>
  </si>
  <si>
    <t xml:space="preserve">Check that a candidate_profiles / employers row exists after email sign-up.</t>
  </si>
  <si>
    <t xml:space="preserve">1. Register a new job seeker and a new employer
2. In Supabase, check candidate_profiles and employers tables for the new user ids</t>
  </si>
  <si>
    <t xml:space="preserve">Each new user has a matching row (candidate_profiles for seekers, employers for recruiters).</t>
  </si>
  <si>
    <t xml:space="preserve">Email sign-up never calls createPublicProfile (only the Google flow does). Unless a DB trigger exists, no row is created, and later profile saves (update ... eq id) silently affect 0 rows.</t>
  </si>
  <si>
    <t xml:space="preserve">REQ-REG-12</t>
  </si>
  <si>
    <t xml:space="preserve">Links on the sign-up page navigate correctly</t>
  </si>
  <si>
    <t xml:space="preserve">Sign In link</t>
  </si>
  <si>
    <t xml:space="preserve">TC-REG15</t>
  </si>
  <si>
    <t xml:space="preserve">Click 'Sign in' / 'Sign In' links.</t>
  </si>
  <si>
    <t xml:space="preserve">1. On /signup click header 'Sign In'
2. Return, click bottom 'Sign in'</t>
  </si>
  <si>
    <t xml:space="preserve">Both navigate to /login.</t>
  </si>
  <si>
    <t xml:space="preserve">REQ-REG-13</t>
  </si>
  <si>
    <t xml:space="preserve">Loading state prevents double submit</t>
  </si>
  <si>
    <t xml:space="preserve">Double-click Create account</t>
  </si>
  <si>
    <t xml:space="preserve">TC-REG16</t>
  </si>
  <si>
    <t xml:space="preserve">Click Create account twice quickly.</t>
  </si>
  <si>
    <t xml:space="preserve">1. Fill valid data
2. Double-click Create account</t>
  </si>
  <si>
    <t xml:space="preserve">Button shows 'Creating account...' and only one account is created.</t>
  </si>
  <si>
    <t xml:space="preserve">Module</t>
  </si>
  <si>
    <t xml:space="preserve">Registration / Sign Up</t>
  </si>
  <si>
    <t xml:space="preserve">Source code covered</t>
  </si>
  <si>
    <t xml:space="preserve">Signup.jsx, authService.registerUser, createPublicProfile</t>
  </si>
  <si>
    <t xml:space="preserve">Environment</t>
  </si>
  <si>
    <t xml:space="preserve">resumatch-test-production.up.railway.app</t>
  </si>
  <si>
    <t xml:space="preserve">Prepared</t>
  </si>
  <si>
    <t xml:space="preserve">Generated from code review of the Resumatch repo (commit 067ff01, Oct 6 2026)</t>
  </si>
  <si>
    <t xml:space="preserve">Count</t>
  </si>
  <si>
    <t xml:space="preserve">Pass</t>
  </si>
  <si>
    <t xml:space="preserve">Fail</t>
  </si>
  <si>
    <t xml:space="preserve">Blocked</t>
  </si>
  <si>
    <t xml:space="preserve">Total</t>
  </si>
  <si>
    <t xml:space="preserve">Code review flags</t>
  </si>
  <si>
    <t xml:space="preserve">Note</t>
  </si>
  <si>
    <t xml:space="preserve">How to use: run each case, then fill Actual Result, set Status from the drop-down (Not Run / Pass / Fail / Blocked) and attach Evidence (screenshot link). Counts above update automatically.</t>
  </si>
  <si>
    <t xml:space="preserve">Requirement IDs (REQ-xxx) are placeholders taken from the code. Replace them with your BRD FR numbers.</t>
  </si>
  <si>
    <t xml:space="preserve">Code Review Note (yellow) is what the source code suggests will happen. 'LIKELY FAIL' means the code does not do what the expected result requires. It is a prediction, not an executed result: confirm it on the deployed site before logging a bug.</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</si>
</sst>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color rgb="FF000000"/>
      <name val="Arial"/>
      <family val="0"/>
      <charset val="1"/>
    </font>
    <font>
      <b val="true"/>
      <sz val="10"/>
      <color rgb="FF000000"/>
      <name val="Arial"/>
      <family val="0"/>
      <charset val="1"/>
    </font>
    <font>
      <sz val="10"/>
      <color rgb="FF7F6000"/>
      <name val="Arial"/>
      <family val="0"/>
      <charset val="1"/>
    </font>
    <font>
      <b val="true"/>
      <sz val="11"/>
      <name val="Arial"/>
      <family val="0"/>
      <charset val="1"/>
    </font>
    <font>
      <sz val="11"/>
      <name val="Arial"/>
      <family val="0"/>
      <charset val="1"/>
    </font>
    <font>
      <b val="true"/>
      <sz val="11"/>
      <color rgb="FFFFFFFF"/>
      <name val="Arial"/>
      <family val="0"/>
      <charset val="1"/>
    </font>
    <font>
      <i val="true"/>
      <sz val="11"/>
      <name val="Arial"/>
      <family val="0"/>
      <charset val="1"/>
    </font>
    <font>
      <i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BF8F00"/>
        <bgColor rgb="FFFF6600"/>
      </patternFill>
    </fill>
    <fill>
      <patternFill patternType="solid">
        <fgColor rgb="FFFFF2CC"/>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BF8F00"/>
          <bgColor rgb="FF000000"/>
        </patternFill>
      </fill>
    </dxf>
    <dxf>
      <fill>
        <patternFill patternType="solid">
          <fgColor rgb="FFFFF2CC"/>
          <bgColor rgb="FF000000"/>
        </patternFill>
      </fill>
    </dxf>
    <dxf>
      <fill>
        <patternFill patternType="solid">
          <fgColor rgb="FF7F6000"/>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BF8F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26"/>
    <col collapsed="false" customWidth="true" hidden="false" outlineLevel="0" max="4" min="4" style="0" width="13"/>
    <col collapsed="false" customWidth="true" hidden="false" outlineLevel="0" max="5" min="5" style="0" width="34"/>
    <col collapsed="false" customWidth="true" hidden="false" outlineLevel="0" max="6" min="6" style="0" width="46"/>
    <col collapsed="false" customWidth="true" hidden="false" outlineLevel="0" max="7" min="7" style="0" width="44"/>
    <col collapsed="false" customWidth="true" hidden="false" outlineLevel="0" max="8" min="8" style="0" width="30"/>
    <col collapsed="false" customWidth="true" hidden="false" outlineLevel="0" max="9" min="9" style="0" width="12"/>
    <col collapsed="false" customWidth="true" hidden="false" outlineLevel="0" max="10" min="10" style="0" width="18"/>
    <col collapsed="false" customWidth="true" hidden="false" outlineLevel="0" max="11" min="11" style="0" width="46"/>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2" t="s">
        <v>10</v>
      </c>
    </row>
    <row r="2" customFormat="false" ht="57.45" hidden="false" customHeight="false" outlineLevel="0" collapsed="false">
      <c r="A2" s="3" t="s">
        <v>11</v>
      </c>
      <c r="B2" s="3" t="s">
        <v>12</v>
      </c>
      <c r="C2" s="3" t="s">
        <v>13</v>
      </c>
      <c r="D2" s="4" t="s">
        <v>14</v>
      </c>
      <c r="E2" s="3" t="s">
        <v>15</v>
      </c>
      <c r="F2" s="3" t="s">
        <v>16</v>
      </c>
      <c r="G2" s="3" t="s">
        <v>17</v>
      </c>
      <c r="H2" s="3"/>
      <c r="I2" s="3" t="s">
        <v>18</v>
      </c>
      <c r="J2" s="3"/>
      <c r="K2" s="5"/>
    </row>
    <row r="3" customFormat="false" ht="68.65" hidden="false" customHeight="false" outlineLevel="0" collapsed="false">
      <c r="A3" s="3" t="s">
        <v>19</v>
      </c>
      <c r="B3" s="3" t="s">
        <v>20</v>
      </c>
      <c r="C3" s="3" t="s">
        <v>21</v>
      </c>
      <c r="D3" s="4" t="s">
        <v>22</v>
      </c>
      <c r="E3" s="3" t="s">
        <v>23</v>
      </c>
      <c r="F3" s="3" t="s">
        <v>24</v>
      </c>
      <c r="G3" s="3" t="s">
        <v>25</v>
      </c>
      <c r="H3" s="3"/>
      <c r="I3" s="3" t="s">
        <v>18</v>
      </c>
      <c r="J3" s="3"/>
      <c r="K3" s="5"/>
    </row>
    <row r="4" customFormat="false" ht="57.45" hidden="false" customHeight="false" outlineLevel="0" collapsed="false">
      <c r="A4" s="3" t="s">
        <v>26</v>
      </c>
      <c r="B4" s="3" t="s">
        <v>27</v>
      </c>
      <c r="C4" s="3" t="s">
        <v>28</v>
      </c>
      <c r="D4" s="4" t="s">
        <v>29</v>
      </c>
      <c r="E4" s="3" t="s">
        <v>30</v>
      </c>
      <c r="F4" s="3" t="s">
        <v>31</v>
      </c>
      <c r="G4" s="3" t="s">
        <v>32</v>
      </c>
      <c r="H4" s="3"/>
      <c r="I4" s="3" t="s">
        <v>18</v>
      </c>
      <c r="J4" s="3"/>
      <c r="K4" s="5"/>
    </row>
    <row r="5" customFormat="false" ht="35.05" hidden="false" customHeight="false" outlineLevel="0" collapsed="false">
      <c r="A5" s="3" t="s">
        <v>33</v>
      </c>
      <c r="B5" s="3" t="s">
        <v>34</v>
      </c>
      <c r="C5" s="3" t="s">
        <v>35</v>
      </c>
      <c r="D5" s="4" t="s">
        <v>36</v>
      </c>
      <c r="E5" s="3" t="s">
        <v>37</v>
      </c>
      <c r="F5" s="3" t="s">
        <v>38</v>
      </c>
      <c r="G5" s="3" t="s">
        <v>39</v>
      </c>
      <c r="H5" s="3"/>
      <c r="I5" s="3" t="s">
        <v>18</v>
      </c>
      <c r="J5" s="3"/>
      <c r="K5" s="6" t="s">
        <v>40</v>
      </c>
    </row>
    <row r="6" customFormat="false" ht="23.85" hidden="false" customHeight="false" outlineLevel="0" collapsed="false">
      <c r="A6" s="3" t="s">
        <v>33</v>
      </c>
      <c r="B6" s="3" t="s">
        <v>34</v>
      </c>
      <c r="C6" s="3" t="s">
        <v>41</v>
      </c>
      <c r="D6" s="4" t="s">
        <v>42</v>
      </c>
      <c r="E6" s="3" t="s">
        <v>43</v>
      </c>
      <c r="F6" s="3" t="s">
        <v>44</v>
      </c>
      <c r="G6" s="3" t="s">
        <v>45</v>
      </c>
      <c r="H6" s="3"/>
      <c r="I6" s="3" t="s">
        <v>18</v>
      </c>
      <c r="J6" s="3"/>
      <c r="K6" s="5"/>
    </row>
    <row r="7" customFormat="false" ht="23.85" hidden="false" customHeight="false" outlineLevel="0" collapsed="false">
      <c r="A7" s="3" t="s">
        <v>33</v>
      </c>
      <c r="B7" s="3" t="s">
        <v>34</v>
      </c>
      <c r="C7" s="3" t="s">
        <v>46</v>
      </c>
      <c r="D7" s="4" t="s">
        <v>47</v>
      </c>
      <c r="E7" s="3" t="s">
        <v>48</v>
      </c>
      <c r="F7" s="3" t="s">
        <v>49</v>
      </c>
      <c r="G7" s="3" t="s">
        <v>50</v>
      </c>
      <c r="H7" s="3"/>
      <c r="I7" s="3" t="s">
        <v>18</v>
      </c>
      <c r="J7" s="3"/>
      <c r="K7" s="5"/>
    </row>
    <row r="8" customFormat="false" ht="35.05" hidden="false" customHeight="false" outlineLevel="0" collapsed="false">
      <c r="A8" s="3" t="s">
        <v>51</v>
      </c>
      <c r="B8" s="3" t="s">
        <v>52</v>
      </c>
      <c r="C8" s="3" t="s">
        <v>53</v>
      </c>
      <c r="D8" s="4" t="s">
        <v>54</v>
      </c>
      <c r="E8" s="3" t="s">
        <v>55</v>
      </c>
      <c r="F8" s="3" t="s">
        <v>56</v>
      </c>
      <c r="G8" s="3" t="s">
        <v>57</v>
      </c>
      <c r="H8" s="3"/>
      <c r="I8" s="3" t="s">
        <v>18</v>
      </c>
      <c r="J8" s="3"/>
      <c r="K8" s="5"/>
    </row>
    <row r="9" customFormat="false" ht="46.25" hidden="false" customHeight="false" outlineLevel="0" collapsed="false">
      <c r="A9" s="3" t="s">
        <v>58</v>
      </c>
      <c r="B9" s="3" t="s">
        <v>59</v>
      </c>
      <c r="C9" s="3" t="s">
        <v>60</v>
      </c>
      <c r="D9" s="4" t="s">
        <v>61</v>
      </c>
      <c r="E9" s="3" t="s">
        <v>62</v>
      </c>
      <c r="F9" s="3" t="s">
        <v>63</v>
      </c>
      <c r="G9" s="3" t="s">
        <v>64</v>
      </c>
      <c r="H9" s="3"/>
      <c r="I9" s="3" t="s">
        <v>18</v>
      </c>
      <c r="J9" s="3"/>
      <c r="K9" s="5"/>
    </row>
    <row r="10" customFormat="false" ht="35.05" hidden="false" customHeight="false" outlineLevel="0" collapsed="false">
      <c r="A10" s="3" t="s">
        <v>65</v>
      </c>
      <c r="B10" s="3" t="s">
        <v>66</v>
      </c>
      <c r="C10" s="3" t="s">
        <v>67</v>
      </c>
      <c r="D10" s="4" t="s">
        <v>68</v>
      </c>
      <c r="E10" s="3" t="s">
        <v>69</v>
      </c>
      <c r="F10" s="3" t="s">
        <v>70</v>
      </c>
      <c r="G10" s="3" t="s">
        <v>71</v>
      </c>
      <c r="H10" s="3"/>
      <c r="I10" s="3" t="s">
        <v>18</v>
      </c>
      <c r="J10" s="3"/>
      <c r="K10" s="5"/>
    </row>
    <row r="11" customFormat="false" ht="35.05" hidden="false" customHeight="false" outlineLevel="0" collapsed="false">
      <c r="A11" s="3" t="s">
        <v>72</v>
      </c>
      <c r="B11" s="3" t="s">
        <v>73</v>
      </c>
      <c r="C11" s="3" t="s">
        <v>74</v>
      </c>
      <c r="D11" s="4" t="s">
        <v>75</v>
      </c>
      <c r="E11" s="3" t="s">
        <v>76</v>
      </c>
      <c r="F11" s="3" t="s">
        <v>77</v>
      </c>
      <c r="G11" s="3" t="s">
        <v>78</v>
      </c>
      <c r="H11" s="3"/>
      <c r="I11" s="3" t="s">
        <v>18</v>
      </c>
      <c r="J11" s="3"/>
      <c r="K11" s="6" t="s">
        <v>79</v>
      </c>
    </row>
    <row r="12" customFormat="false" ht="35.05" hidden="false" customHeight="false" outlineLevel="0" collapsed="false">
      <c r="A12" s="3" t="s">
        <v>80</v>
      </c>
      <c r="B12" s="3" t="s">
        <v>81</v>
      </c>
      <c r="C12" s="3" t="s">
        <v>82</v>
      </c>
      <c r="D12" s="4" t="s">
        <v>83</v>
      </c>
      <c r="E12" s="3" t="s">
        <v>84</v>
      </c>
      <c r="F12" s="3" t="s">
        <v>85</v>
      </c>
      <c r="G12" s="3" t="s">
        <v>86</v>
      </c>
      <c r="H12" s="3"/>
      <c r="I12" s="3" t="s">
        <v>18</v>
      </c>
      <c r="J12" s="3"/>
      <c r="K12" s="5"/>
    </row>
    <row r="13" customFormat="false" ht="35.05" hidden="false" customHeight="false" outlineLevel="0" collapsed="false">
      <c r="A13" s="3" t="s">
        <v>80</v>
      </c>
      <c r="B13" s="3" t="s">
        <v>81</v>
      </c>
      <c r="C13" s="3" t="s">
        <v>87</v>
      </c>
      <c r="D13" s="4" t="s">
        <v>88</v>
      </c>
      <c r="E13" s="3" t="s">
        <v>89</v>
      </c>
      <c r="F13" s="3" t="s">
        <v>90</v>
      </c>
      <c r="G13" s="3" t="s">
        <v>91</v>
      </c>
      <c r="H13" s="3"/>
      <c r="I13" s="3" t="s">
        <v>18</v>
      </c>
      <c r="J13" s="3"/>
      <c r="K13" s="5"/>
    </row>
    <row r="14" customFormat="false" ht="35.05" hidden="false" customHeight="false" outlineLevel="0" collapsed="false">
      <c r="A14" s="3" t="s">
        <v>92</v>
      </c>
      <c r="B14" s="3" t="s">
        <v>93</v>
      </c>
      <c r="C14" s="3" t="s">
        <v>94</v>
      </c>
      <c r="D14" s="4" t="s">
        <v>95</v>
      </c>
      <c r="E14" s="3" t="s">
        <v>96</v>
      </c>
      <c r="F14" s="3" t="s">
        <v>97</v>
      </c>
      <c r="G14" s="3" t="s">
        <v>98</v>
      </c>
      <c r="H14" s="3"/>
      <c r="I14" s="3" t="s">
        <v>18</v>
      </c>
      <c r="J14" s="3"/>
      <c r="K14" s="5"/>
    </row>
    <row r="15" customFormat="false" ht="46.25" hidden="false" customHeight="false" outlineLevel="0" collapsed="false">
      <c r="A15" s="3" t="s">
        <v>99</v>
      </c>
      <c r="B15" s="3" t="s">
        <v>100</v>
      </c>
      <c r="C15" s="3" t="s">
        <v>101</v>
      </c>
      <c r="D15" s="4" t="s">
        <v>102</v>
      </c>
      <c r="E15" s="3" t="s">
        <v>103</v>
      </c>
      <c r="F15" s="3" t="s">
        <v>104</v>
      </c>
      <c r="G15" s="3" t="s">
        <v>105</v>
      </c>
      <c r="H15" s="3"/>
      <c r="I15" s="3" t="s">
        <v>18</v>
      </c>
      <c r="J15" s="3"/>
      <c r="K15" s="6" t="s">
        <v>106</v>
      </c>
    </row>
    <row r="16" customFormat="false" ht="23.85" hidden="false" customHeight="false" outlineLevel="0" collapsed="false">
      <c r="A16" s="3" t="s">
        <v>107</v>
      </c>
      <c r="B16" s="3" t="s">
        <v>108</v>
      </c>
      <c r="C16" s="3" t="s">
        <v>109</v>
      </c>
      <c r="D16" s="4" t="s">
        <v>110</v>
      </c>
      <c r="E16" s="3" t="s">
        <v>111</v>
      </c>
      <c r="F16" s="3" t="s">
        <v>112</v>
      </c>
      <c r="G16" s="3" t="s">
        <v>113</v>
      </c>
      <c r="H16" s="3"/>
      <c r="I16" s="3" t="s">
        <v>18</v>
      </c>
      <c r="J16" s="3"/>
      <c r="K16" s="5"/>
    </row>
    <row r="17" customFormat="false" ht="23.85" hidden="false" customHeight="false" outlineLevel="0" collapsed="false">
      <c r="A17" s="3" t="s">
        <v>114</v>
      </c>
      <c r="B17" s="3" t="s">
        <v>115</v>
      </c>
      <c r="C17" s="3" t="s">
        <v>116</v>
      </c>
      <c r="D17" s="4" t="s">
        <v>117</v>
      </c>
      <c r="E17" s="3" t="s">
        <v>118</v>
      </c>
      <c r="F17" s="3" t="s">
        <v>119</v>
      </c>
      <c r="G17" s="3" t="s">
        <v>120</v>
      </c>
      <c r="H17" s="3"/>
      <c r="I17" s="3" t="s">
        <v>18</v>
      </c>
      <c r="J17" s="3"/>
      <c r="K17" s="5"/>
    </row>
  </sheetData>
  <autoFilter ref="A1:K17"/>
  <conditionalFormatting sqref="I2:I17">
    <cfRule type="expression" priority="2" aboveAverage="0" equalAverage="0" bottom="0" percent="0" rank="0" text="" dxfId="7">
      <formula>$I2="Pass"</formula>
    </cfRule>
    <cfRule type="expression" priority="3" aboveAverage="0" equalAverage="0" bottom="0" percent="0" rank="0" text="" dxfId="8">
      <formula>$I2="Fail"</formula>
    </cfRule>
    <cfRule type="expression" priority="4" aboveAverage="0" equalAverage="0" bottom="0" percent="0" rank="0" text="" dxfId="9">
      <formula>$I2="Blocked"</formula>
    </cfRule>
  </conditionalFormatting>
  <dataValidations count="1">
    <dataValidation allowBlank="true" errorStyle="stop" operator="between" showDropDown="false" showErrorMessage="false" showInputMessage="false" sqref="I2:I17" type="list">
      <formula1>"Not Run,Pass,Fail,Blocked"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s>
  <sheetData>
    <row r="1" customFormat="false" ht="15" hidden="false" customHeight="false" outlineLevel="0" collapsed="false">
      <c r="A1" s="7" t="s">
        <v>121</v>
      </c>
      <c r="B1" s="8" t="s">
        <v>122</v>
      </c>
    </row>
    <row r="2" customFormat="false" ht="15" hidden="false" customHeight="false" outlineLevel="0" collapsed="false">
      <c r="A2" s="7" t="s">
        <v>123</v>
      </c>
      <c r="B2" s="8" t="s">
        <v>124</v>
      </c>
    </row>
    <row r="3" customFormat="false" ht="15" hidden="false" customHeight="false" outlineLevel="0" collapsed="false">
      <c r="A3" s="7" t="s">
        <v>125</v>
      </c>
      <c r="B3" s="8" t="s">
        <v>126</v>
      </c>
    </row>
    <row r="4" customFormat="false" ht="26.85" hidden="false" customHeight="false" outlineLevel="0" collapsed="false">
      <c r="A4" s="7" t="s">
        <v>127</v>
      </c>
      <c r="B4" s="8" t="s">
        <v>128</v>
      </c>
    </row>
    <row r="6" customFormat="false" ht="15" hidden="false" customHeight="false" outlineLevel="0" collapsed="false">
      <c r="A6" s="9" t="s">
        <v>8</v>
      </c>
      <c r="B6" s="9" t="s">
        <v>129</v>
      </c>
    </row>
    <row r="7" customFormat="false" ht="15" hidden="false" customHeight="false" outlineLevel="0" collapsed="false">
      <c r="A7" s="10" t="s">
        <v>130</v>
      </c>
      <c r="B7" s="10" t="n">
        <f aca="false">COUNTIF('Test Cases'!$I$2:$I$17,A7)</f>
        <v>0</v>
      </c>
    </row>
    <row r="8" customFormat="false" ht="15" hidden="false" customHeight="false" outlineLevel="0" collapsed="false">
      <c r="A8" s="10" t="s">
        <v>131</v>
      </c>
      <c r="B8" s="10" t="n">
        <f aca="false">COUNTIF('Test Cases'!$I$2:$I$17,A8)</f>
        <v>0</v>
      </c>
    </row>
    <row r="9" customFormat="false" ht="15" hidden="false" customHeight="false" outlineLevel="0" collapsed="false">
      <c r="A9" s="10" t="s">
        <v>132</v>
      </c>
      <c r="B9" s="10" t="n">
        <f aca="false">COUNTIF('Test Cases'!$I$2:$I$17,A9)</f>
        <v>0</v>
      </c>
    </row>
    <row r="10" customFormat="false" ht="15" hidden="false" customHeight="false" outlineLevel="0" collapsed="false">
      <c r="A10" s="10" t="s">
        <v>18</v>
      </c>
      <c r="B10" s="10" t="n">
        <f aca="false">COUNTIF('Test Cases'!$I$2:$I$17,A10)</f>
        <v>16</v>
      </c>
    </row>
    <row r="11" customFormat="false" ht="15" hidden="false" customHeight="false" outlineLevel="0" collapsed="false">
      <c r="A11" s="7" t="s">
        <v>133</v>
      </c>
      <c r="B11" s="7" t="n">
        <f aca="false">SUM(B7:B10)</f>
        <v>16</v>
      </c>
    </row>
    <row r="12" customFormat="false" ht="15" hidden="false" customHeight="false" outlineLevel="0" collapsed="false">
      <c r="A12" s="10" t="s">
        <v>134</v>
      </c>
      <c r="B12" s="10" t="n">
        <f aca="false">COUNTIF('Test Cases'!$K$2:$K$17,"LIKELY FAIL*")</f>
        <v>0</v>
      </c>
    </row>
    <row r="14" customFormat="false" ht="42" hidden="false" customHeight="true" outlineLevel="0" collapsed="false">
      <c r="A14" s="11" t="s">
        <v>135</v>
      </c>
      <c r="B14" s="12" t="s">
        <v>136</v>
      </c>
    </row>
    <row r="15" customFormat="false" ht="42" hidden="false" customHeight="true" outlineLevel="0" collapsed="false">
      <c r="A15" s="11" t="s">
        <v>135</v>
      </c>
      <c r="B15" s="12" t="s">
        <v>137</v>
      </c>
    </row>
    <row r="16" customFormat="false" ht="42" hidden="false" customHeight="true" outlineLevel="0" collapsed="false">
      <c r="A16" s="11" t="s">
        <v>135</v>
      </c>
      <c r="B16" s="12"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2026-10-09T11:19:52Z</dcterms:created>
  <dc:creator>openpyxl</dc:creator>
  <dc:description/>
  <dc:language>en-US</dc:language>
  <cp:lastModifiedBy/>
  <dcterms:modified xsi:type="dcterms:W3CDTF">2026-10-09T11:19:52Z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