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Cases'!$A$1:$K$17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<sst xmlns="http://schemas.openxmlformats.org/spreadsheetml/2006/main" count="167" uniqueCount="148">
  <si>
    <t xml:space="preserve">Requirement ID</t>
  </si>
  <si>
    <t xml:space="preserve">Requirement</t>
  </si>
  <si>
    <t xml:space="preserve">Test Case</t>
  </si>
  <si>
    <t xml:space="preserve">Test Case ID</t>
  </si>
  <si>
    <t xml:space="preserve">Test Case Description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</si>
  <si>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</si>
  <si>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</si>
  <si>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</si>
  <si>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</si>
  <si>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</si>
  <si>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Code Review Note</t>
  </si>
  <si>
    <t xml:space="preserve">REQ-PROF-01</t>
  </si>
  <si>
    <t xml:space="preserve">Candidate can open their profile</t>
  </si>
  <si>
    <t xml:space="preserve">Open profile modal</t>
  </si>
  <si>
    <t xml:space="preserve">TC-PROF01</t>
  </si>
  <si>
    <t xml:space="preserve">Open profile from the header menu.</t>
  </si>
  <si>
    <t xml:space="preserve">1. Log in as candidate
2. Click avatar &gt; profile
3. Click X / outside the modal</t>
  </si>
  <si>
    <t xml:space="preserve">Profile modal opens showing name, email, resume section and tabs Experience / Education / Skills / Links. X or overlay click closes it.</t>
  </si>
  <si>
    <t xml:space="preserve">Not Run</t>
  </si>
  <si>
    <t xml:space="preserve">REQ-PROF-02</t>
  </si>
  <si>
    <t xml:space="preserve">Candidate can upload a PDF resume</t>
  </si>
  <si>
    <t xml:space="preserve">Upload valid PDF</t>
  </si>
  <si>
    <t xml:space="preserve">TC-PROF02</t>
  </si>
  <si>
    <t xml:space="preserve">Upload a normal 1-2 page PDF resume.</t>
  </si>
  <si>
    <t xml:space="preserve">1. Open profile
2. Click Upload Resume
3. Choose resume.pdf
4. Confirm 'Yes, Upload'</t>
  </si>
  <si>
    <t xml:space="preserve">Confirmation dialog appears first. Status goes 'Uploading...' then 'Resume updated successfully'. File stored as &lt;userId&gt;-resume.pdf in 'resumes' bucket.</t>
  </si>
  <si>
    <t xml:space="preserve">REQ-PROF-03</t>
  </si>
  <si>
    <t xml:space="preserve">Uploaded resume is parsed by AI into profile fields</t>
  </si>
  <si>
    <t xml:space="preserve">AI parsing populates tabs (deployed)</t>
  </si>
  <si>
    <t xml:space="preserve">TC-PROF03</t>
  </si>
  <si>
    <t xml:space="preserve">After upload, check Experience, Education and Skills tabs fill automatically.</t>
  </si>
  <si>
    <t xml:space="preserve">1. Complete PROF-02 on the deployed site
2. Wait for parsing
3. Open each tab</t>
  </si>
  <si>
    <t xml:space="preserve">Experience, Education, Skills are filled from the resume. candidate_profiles.resume_status = 'Parsed successfully'.</t>
  </si>
  <si>
    <t xml:space="preserve">LIKELY FAIL on deployed: ProfileModal calls fetch('http://localhost:3000/api/parse-resume') (hard-coded). Same root cause as the job-posting bug. Error is only logged to console, user sees nothing.</t>
  </si>
  <si>
    <t xml:space="preserve">REQ-PROF-04</t>
  </si>
  <si>
    <t xml:space="preserve">Unsupported file types handled</t>
  </si>
  <si>
    <t xml:space="preserve">Upload DOCX resume</t>
  </si>
  <si>
    <t xml:space="preserve">TC-PROF04</t>
  </si>
  <si>
    <t xml:space="preserve">Upload a .docx resume (file picker allows .pdf,.doc,.docx).</t>
  </si>
  <si>
    <t xml:space="preserve">1. Upload resume.docx
2. Confirm
3. Wait for parsing</t>
  </si>
  <si>
    <t xml:space="preserve">Either DOCX is parsed correctly, or the user gets a clear 'only PDF supported' message.</t>
  </si>
  <si>
    <t xml:space="preserve">LIKELY FAIL: server sends every file to Gemini as mimeType 'application/pdf', so DOC/DOCX parsing will error silently.</t>
  </si>
  <si>
    <t xml:space="preserve">REQ-PROF-05</t>
  </si>
  <si>
    <t xml:space="preserve">File type restricted in picker</t>
  </si>
  <si>
    <t xml:space="preserve">Upload non-resume file</t>
  </si>
  <si>
    <t xml:space="preserve">TC-PROF05</t>
  </si>
  <si>
    <t xml:space="preserve">Try to select a .png or .exe.</t>
  </si>
  <si>
    <t xml:space="preserve">1. Click Upload Resume
2. Switch picker to 'All files' and choose image.png
3. Confirm</t>
  </si>
  <si>
    <t xml:space="preserve">File is rejected with a message; nothing uploaded.</t>
  </si>
  <si>
    <t xml:space="preserve">No client-side type or size validation beyond the accept attribute.</t>
  </si>
  <si>
    <t xml:space="preserve">REQ-PROF-06</t>
  </si>
  <si>
    <t xml:space="preserve">Large files handled</t>
  </si>
  <si>
    <t xml:space="preserve">Upload very large PDF (&gt;10 MB)</t>
  </si>
  <si>
    <t xml:space="preserve">TC-PROF06</t>
  </si>
  <si>
    <t xml:space="preserve">Upload an oversized PDF.</t>
  </si>
  <si>
    <t xml:space="preserve">1. Upload a 15 MB PDF</t>
  </si>
  <si>
    <t xml:space="preserve">Clear size-limit message, or upload succeeds and parses. No silent hang.</t>
  </si>
  <si>
    <t xml:space="preserve">No size check in code; depends on bucket limit.</t>
  </si>
  <si>
    <t xml:space="preserve">REQ-PROF-07</t>
  </si>
  <si>
    <t xml:space="preserve">Cancel upload confirmation</t>
  </si>
  <si>
    <t xml:space="preserve">Cancel upload</t>
  </si>
  <si>
    <t xml:space="preserve">TC-PROF07</t>
  </si>
  <si>
    <t xml:space="preserve">Choose a file then click cancel on the confirm dialog.</t>
  </si>
  <si>
    <t xml:space="preserve">1. Choose file
2. Click Cancel (or overlay)</t>
  </si>
  <si>
    <t xml:space="preserve">Dialog closes, nothing uploaded, existing resume unchanged.</t>
  </si>
  <si>
    <t xml:space="preserve">REQ-PROF-08</t>
  </si>
  <si>
    <t xml:space="preserve">Re-upload replaces old resume</t>
  </si>
  <si>
    <t xml:space="preserve">Replace existing resume</t>
  </si>
  <si>
    <t xml:space="preserve">TC-PROF08</t>
  </si>
  <si>
    <t xml:space="preserve">Upload a second resume.</t>
  </si>
  <si>
    <t xml:space="preserve">1. With a resume already uploaded, upload another PDF
2. Confirm</t>
  </si>
  <si>
    <t xml:space="preserve">Dialog warns it will overwrite profile data. Status 'Replacing...' then success. Only one file per user in bucket (upsert). Profile data reflects new resume.</t>
  </si>
  <si>
    <t xml:space="preserve">REQ-PROF-09</t>
  </si>
  <si>
    <t xml:space="preserve">Existing resume shown on reopen</t>
  </si>
  <si>
    <t xml:space="preserve">Resume persists</t>
  </si>
  <si>
    <t xml:space="preserve">TC-PROF09</t>
  </si>
  <si>
    <t xml:space="preserve">Close and reopen profile / log out and in.</t>
  </si>
  <si>
    <t xml:space="preserve">1. Upload resume
2. Log out, log in
3. Open profile</t>
  </si>
  <si>
    <t xml:space="preserve">Resume file name, size and status are shown; parsed data still present.</t>
  </si>
  <si>
    <t xml:space="preserve">REQ-PROF-10</t>
  </si>
  <si>
    <t xml:space="preserve">Candidate can manually edit experience</t>
  </si>
  <si>
    <t xml:space="preserve">Edit / add / remove experience</t>
  </si>
  <si>
    <t xml:space="preserve">TC-PROF10</t>
  </si>
  <si>
    <t xml:space="preserve">Edit profile data manually and confirm auto-save.</t>
  </si>
  <si>
    <t xml:space="preserve">1. Enable editing
2. Add an experience entry (title, company, dates, responsibilities one per line)
3. Remove another entry
4. Wait 2 seconds, close and reopen</t>
  </si>
  <si>
    <t xml:space="preserve">Changes are auto-saved (~1.5s) and persist after reopening.</t>
  </si>
  <si>
    <t xml:space="preserve">REQ-PROF-11</t>
  </si>
  <si>
    <t xml:space="preserve">Candidate can edit education</t>
  </si>
  <si>
    <t xml:space="preserve">Edit / add / remove education</t>
  </si>
  <si>
    <t xml:space="preserve">TC-PROF11</t>
  </si>
  <si>
    <t xml:space="preserve">Add and remove education entries.</t>
  </si>
  <si>
    <t xml:space="preserve">1. Enable editing &gt; Education tab
2. Add degree/school/year
3. Remove one
4. Save &amp; close, reopen</t>
  </si>
  <si>
    <t xml:space="preserve">Changes persist.</t>
  </si>
  <si>
    <t xml:space="preserve">REQ-PROF-12</t>
  </si>
  <si>
    <t xml:space="preserve">Candidate can edit skills</t>
  </si>
  <si>
    <t xml:space="preserve">Edit skills (comma separated)</t>
  </si>
  <si>
    <t xml:space="preserve">TC-PROF12</t>
  </si>
  <si>
    <t xml:space="preserve">Edit skills list.</t>
  </si>
  <si>
    <t xml:space="preserve">1. Skills tab &gt; type 'React, SQL, , Figma'
2. Save, reopen</t>
  </si>
  <si>
    <t xml:space="preserve">Skills saved as React, SQL, Figma (blank items removed).</t>
  </si>
  <si>
    <t xml:space="preserve">REQ-PROF-13</t>
  </si>
  <si>
    <t xml:space="preserve">Candidate can add profile links</t>
  </si>
  <si>
    <t xml:space="preserve">Links validation</t>
  </si>
  <si>
    <t xml:space="preserve">TC-PROF13</t>
  </si>
  <si>
    <t xml:space="preserve">Enter portfolio, LinkedIn, Facebook, GitHub links.</t>
  </si>
  <si>
    <t xml:space="preserve">1. Links tab
2. Enter valid https URLs and one invalid value 'abc'
3. Save</t>
  </si>
  <si>
    <t xml:space="preserve">Valid links persist. Invalid URL is flagged.</t>
  </si>
  <si>
    <t xml:space="preserve">Inputs are type=url but not inside a form, so invalid values may still be auto-saved.</t>
  </si>
  <si>
    <t xml:space="preserve">REQ-PROF-14</t>
  </si>
  <si>
    <t xml:space="preserve">Phone and location saved</t>
  </si>
  <si>
    <t xml:space="preserve">Edit phone / location</t>
  </si>
  <si>
    <t xml:space="preserve">TC-PROF14</t>
  </si>
  <si>
    <t xml:space="preserve">Edit phone and location fields.</t>
  </si>
  <si>
    <t xml:space="preserve">1. Edit phone and location
2. Save, reopen</t>
  </si>
  <si>
    <t xml:space="preserve">Values persist in candidate_profiles.</t>
  </si>
  <si>
    <t xml:space="preserve">REQ-PROF-15</t>
  </si>
  <si>
    <t xml:space="preserve">Profile completion percentage reflects profile</t>
  </si>
  <si>
    <t xml:space="preserve">Profile completion % on dashboard</t>
  </si>
  <si>
    <t xml:space="preserve">TC-PROF15</t>
  </si>
  <si>
    <t xml:space="preserve">Check the 'Your profile is X% complete' text after completing profile.</t>
  </si>
  <si>
    <t xml:space="preserve">1. New candidate: note %
2. Upload resume + fill name/skills/experience
3. Reload dashboard</t>
  </si>
  <si>
    <t xml:space="preserve">Percentage increases as fields are completed.</t>
  </si>
  <si>
    <t xml:space="preserve">LIKELY FAIL: CandidateDashboard never calls setProfile, so completion always shows 0%.</t>
  </si>
  <si>
    <t xml:space="preserve">REQ-PROF-16</t>
  </si>
  <si>
    <t xml:space="preserve">Edits on parsed data overwrite during parsing</t>
  </si>
  <si>
    <t xml:space="preserve">Edit while parsing</t>
  </si>
  <si>
    <t xml:space="preserve">TC-PROF16</t>
  </si>
  <si>
    <t xml:space="preserve">Edit data while parsing is still running.</t>
  </si>
  <si>
    <t xml:space="preserve">1. Upload resume
2. Immediately edit skills
3. Wait for parse to finish</t>
  </si>
  <si>
    <t xml:space="preserve">Defined behaviour (either edits are kept or user is warned).</t>
  </si>
  <si>
    <t xml:space="preserve">Module</t>
  </si>
  <si>
    <t xml:space="preserve">Candidate Profile &amp; Resume Parsing</t>
  </si>
  <si>
    <t xml:space="preserve">Source code covered</t>
  </si>
  <si>
    <t xml:space="preserve">ProfileModal.jsx (candidate view), server.js /api/parse-resume, Supabase storage bucket 'resumes'</t>
  </si>
  <si>
    <t xml:space="preserve">Environment</t>
  </si>
  <si>
    <t xml:space="preserve">resumatch-test-production.up.railway.app</t>
  </si>
  <si>
    <t xml:space="preserve">Prepared</t>
  </si>
  <si>
    <t xml:space="preserve">Generated from code review of the Resumatch repo (commit 067ff01, Oct 6 2026)</t>
  </si>
  <si>
    <t xml:space="preserve">Count</t>
  </si>
  <si>
    <t xml:space="preserve">Pass</t>
  </si>
  <si>
    <t xml:space="preserve">Fail</t>
  </si>
  <si>
    <t xml:space="preserve">Blocked</t>
  </si>
  <si>
    <t xml:space="preserve">Total</t>
  </si>
  <si>
    <t xml:space="preserve">Code review flags</t>
  </si>
  <si>
    <t xml:space="preserve">Note</t>
  </si>
  <si>
    <t xml:space="preserve">How to use: run each case, then fill Actual Result, set Status from the drop-down (Not Run / Pass / Fail / Blocked) and attach Evidence (screenshot link). Counts above update automatically.</t>
  </si>
  <si>
    <t xml:space="preserve">Requirement IDs (REQ-xxx) are placeholders taken from the code. Replace them with your BRD FR numbers.</t>
  </si>
  <si>
    <t xml:space="preserve">Code Review Note (yellow) is what the source code suggests will happen. 'LIKELY FAIL' means the code does not do what the expected result requires. It is a prediction, not an executed result: confirm it on the deployed site before logging a bug.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</si>
</sst>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35.05" hidden="false" customHeight="fals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3"/>
      <c r="K2" s="5"/>
    </row>
    <row r="3" customFormat="false" ht="46.25" hidden="false" customHeight="false" outlineLevel="0" collapsed="false">
      <c r="A3" s="3" t="s">
        <v>19</v>
      </c>
      <c r="B3" s="3" t="s">
        <v>20</v>
      </c>
      <c r="C3" s="3" t="s">
        <v>21</v>
      </c>
      <c r="D3" s="4" t="s">
        <v>22</v>
      </c>
      <c r="E3" s="3" t="s">
        <v>23</v>
      </c>
      <c r="F3" s="3" t="s">
        <v>24</v>
      </c>
      <c r="G3" s="3" t="s">
        <v>25</v>
      </c>
      <c r="H3" s="3"/>
      <c r="I3" s="3" t="s">
        <v>18</v>
      </c>
      <c r="J3" s="3"/>
      <c r="K3" s="5"/>
    </row>
    <row r="4" customFormat="false" ht="46.25" hidden="false" customHeight="false" outlineLevel="0" collapsed="false">
      <c r="A4" s="3" t="s">
        <v>26</v>
      </c>
      <c r="B4" s="3" t="s">
        <v>27</v>
      </c>
      <c r="C4" s="3" t="s">
        <v>28</v>
      </c>
      <c r="D4" s="4" t="s">
        <v>29</v>
      </c>
      <c r="E4" s="3" t="s">
        <v>30</v>
      </c>
      <c r="F4" s="3" t="s">
        <v>31</v>
      </c>
      <c r="G4" s="3" t="s">
        <v>32</v>
      </c>
      <c r="H4" s="3"/>
      <c r="I4" s="3" t="s">
        <v>18</v>
      </c>
      <c r="J4" s="3"/>
      <c r="K4" s="6" t="s">
        <v>33</v>
      </c>
    </row>
    <row r="5" customFormat="false" ht="35.05" hidden="false" customHeight="false" outlineLevel="0" collapsed="false">
      <c r="A5" s="3" t="s">
        <v>34</v>
      </c>
      <c r="B5" s="3" t="s">
        <v>35</v>
      </c>
      <c r="C5" s="3" t="s">
        <v>36</v>
      </c>
      <c r="D5" s="4" t="s">
        <v>37</v>
      </c>
      <c r="E5" s="3" t="s">
        <v>38</v>
      </c>
      <c r="F5" s="3" t="s">
        <v>39</v>
      </c>
      <c r="G5" s="3" t="s">
        <v>40</v>
      </c>
      <c r="H5" s="3"/>
      <c r="I5" s="3" t="s">
        <v>18</v>
      </c>
      <c r="J5" s="3"/>
      <c r="K5" s="6" t="s">
        <v>41</v>
      </c>
    </row>
    <row r="6" customFormat="false" ht="35.05" hidden="false" customHeight="false" outlineLevel="0" collapsed="false">
      <c r="A6" s="3" t="s">
        <v>42</v>
      </c>
      <c r="B6" s="3" t="s">
        <v>43</v>
      </c>
      <c r="C6" s="3" t="s">
        <v>44</v>
      </c>
      <c r="D6" s="4" t="s">
        <v>45</v>
      </c>
      <c r="E6" s="3" t="s">
        <v>46</v>
      </c>
      <c r="F6" s="3" t="s">
        <v>47</v>
      </c>
      <c r="G6" s="3" t="s">
        <v>48</v>
      </c>
      <c r="H6" s="3"/>
      <c r="I6" s="3" t="s">
        <v>18</v>
      </c>
      <c r="J6" s="3"/>
      <c r="K6" s="6" t="s">
        <v>49</v>
      </c>
    </row>
    <row r="7" customFormat="false" ht="23.85" hidden="false" customHeight="false" outlineLevel="0" collapsed="false">
      <c r="A7" s="3" t="s">
        <v>50</v>
      </c>
      <c r="B7" s="3" t="s">
        <v>51</v>
      </c>
      <c r="C7" s="3" t="s">
        <v>52</v>
      </c>
      <c r="D7" s="4" t="s">
        <v>53</v>
      </c>
      <c r="E7" s="3" t="s">
        <v>54</v>
      </c>
      <c r="F7" s="3" t="s">
        <v>55</v>
      </c>
      <c r="G7" s="3" t="s">
        <v>56</v>
      </c>
      <c r="H7" s="3"/>
      <c r="I7" s="3" t="s">
        <v>18</v>
      </c>
      <c r="J7" s="3"/>
      <c r="K7" s="6" t="s">
        <v>57</v>
      </c>
    </row>
    <row r="8" customFormat="false" ht="23.85" hidden="false" customHeight="false" outlineLevel="0" collapsed="false">
      <c r="A8" s="3" t="s">
        <v>58</v>
      </c>
      <c r="B8" s="3" t="s">
        <v>59</v>
      </c>
      <c r="C8" s="3" t="s">
        <v>60</v>
      </c>
      <c r="D8" s="4" t="s">
        <v>61</v>
      </c>
      <c r="E8" s="3" t="s">
        <v>62</v>
      </c>
      <c r="F8" s="3" t="s">
        <v>63</v>
      </c>
      <c r="G8" s="3" t="s">
        <v>64</v>
      </c>
      <c r="H8" s="3"/>
      <c r="I8" s="3" t="s">
        <v>18</v>
      </c>
      <c r="J8" s="3"/>
      <c r="K8" s="5"/>
    </row>
    <row r="9" customFormat="false" ht="35.05" hidden="false" customHeight="false" outlineLevel="0" collapsed="false">
      <c r="A9" s="3" t="s">
        <v>65</v>
      </c>
      <c r="B9" s="3" t="s">
        <v>66</v>
      </c>
      <c r="C9" s="3" t="s">
        <v>67</v>
      </c>
      <c r="D9" s="4" t="s">
        <v>68</v>
      </c>
      <c r="E9" s="3" t="s">
        <v>69</v>
      </c>
      <c r="F9" s="3" t="s">
        <v>70</v>
      </c>
      <c r="G9" s="3" t="s">
        <v>71</v>
      </c>
      <c r="H9" s="3"/>
      <c r="I9" s="3" t="s">
        <v>18</v>
      </c>
      <c r="J9" s="3"/>
      <c r="K9" s="5"/>
    </row>
    <row r="10" customFormat="false" ht="35.05" hidden="false" customHeight="false" outlineLevel="0" collapsed="false">
      <c r="A10" s="3" t="s">
        <v>72</v>
      </c>
      <c r="B10" s="3" t="s">
        <v>73</v>
      </c>
      <c r="C10" s="3" t="s">
        <v>74</v>
      </c>
      <c r="D10" s="4" t="s">
        <v>75</v>
      </c>
      <c r="E10" s="3" t="s">
        <v>76</v>
      </c>
      <c r="F10" s="3" t="s">
        <v>77</v>
      </c>
      <c r="G10" s="3" t="s">
        <v>78</v>
      </c>
      <c r="H10" s="3"/>
      <c r="I10" s="3" t="s">
        <v>18</v>
      </c>
      <c r="J10" s="3"/>
      <c r="K10" s="5"/>
    </row>
    <row r="11" customFormat="false" ht="57.45" hidden="false" customHeight="false" outlineLevel="0" collapsed="false">
      <c r="A11" s="3" t="s">
        <v>79</v>
      </c>
      <c r="B11" s="3" t="s">
        <v>80</v>
      </c>
      <c r="C11" s="3" t="s">
        <v>81</v>
      </c>
      <c r="D11" s="4" t="s">
        <v>82</v>
      </c>
      <c r="E11" s="3" t="s">
        <v>83</v>
      </c>
      <c r="F11" s="3" t="s">
        <v>84</v>
      </c>
      <c r="G11" s="3" t="s">
        <v>85</v>
      </c>
      <c r="H11" s="3"/>
      <c r="I11" s="3" t="s">
        <v>18</v>
      </c>
      <c r="J11" s="3"/>
      <c r="K11" s="5"/>
    </row>
    <row r="12" customFormat="false" ht="46.25" hidden="false" customHeight="false" outlineLevel="0" collapsed="false">
      <c r="A12" s="3" t="s">
        <v>86</v>
      </c>
      <c r="B12" s="3" t="s">
        <v>87</v>
      </c>
      <c r="C12" s="3" t="s">
        <v>88</v>
      </c>
      <c r="D12" s="4" t="s">
        <v>89</v>
      </c>
      <c r="E12" s="3" t="s">
        <v>90</v>
      </c>
      <c r="F12" s="3" t="s">
        <v>91</v>
      </c>
      <c r="G12" s="3" t="s">
        <v>92</v>
      </c>
      <c r="H12" s="3"/>
      <c r="I12" s="3" t="s">
        <v>18</v>
      </c>
      <c r="J12" s="3"/>
      <c r="K12" s="5"/>
    </row>
    <row r="13" customFormat="false" ht="23.85" hidden="false" customHeight="false" outlineLevel="0" collapsed="false">
      <c r="A13" s="3" t="s">
        <v>93</v>
      </c>
      <c r="B13" s="3" t="s">
        <v>94</v>
      </c>
      <c r="C13" s="3" t="s">
        <v>95</v>
      </c>
      <c r="D13" s="4" t="s">
        <v>96</v>
      </c>
      <c r="E13" s="3" t="s">
        <v>97</v>
      </c>
      <c r="F13" s="3" t="s">
        <v>98</v>
      </c>
      <c r="G13" s="3" t="s">
        <v>99</v>
      </c>
      <c r="H13" s="3"/>
      <c r="I13" s="3" t="s">
        <v>18</v>
      </c>
      <c r="J13" s="3"/>
      <c r="K13" s="5"/>
    </row>
    <row r="14" customFormat="false" ht="35.05" hidden="false" customHeight="false" outlineLevel="0" collapsed="false">
      <c r="A14" s="3" t="s">
        <v>100</v>
      </c>
      <c r="B14" s="3" t="s">
        <v>101</v>
      </c>
      <c r="C14" s="3" t="s">
        <v>102</v>
      </c>
      <c r="D14" s="4" t="s">
        <v>103</v>
      </c>
      <c r="E14" s="3" t="s">
        <v>104</v>
      </c>
      <c r="F14" s="3" t="s">
        <v>105</v>
      </c>
      <c r="G14" s="3" t="s">
        <v>106</v>
      </c>
      <c r="H14" s="3"/>
      <c r="I14" s="3" t="s">
        <v>18</v>
      </c>
      <c r="J14" s="3"/>
      <c r="K14" s="6" t="s">
        <v>107</v>
      </c>
    </row>
    <row r="15" customFormat="false" ht="23.85" hidden="false" customHeight="false" outlineLevel="0" collapsed="false">
      <c r="A15" s="3" t="s">
        <v>108</v>
      </c>
      <c r="B15" s="3" t="s">
        <v>109</v>
      </c>
      <c r="C15" s="3" t="s">
        <v>110</v>
      </c>
      <c r="D15" s="4" t="s">
        <v>111</v>
      </c>
      <c r="E15" s="3" t="s">
        <v>112</v>
      </c>
      <c r="F15" s="3" t="s">
        <v>113</v>
      </c>
      <c r="G15" s="3" t="s">
        <v>114</v>
      </c>
      <c r="H15" s="3"/>
      <c r="I15" s="3" t="s">
        <v>18</v>
      </c>
      <c r="J15" s="3"/>
      <c r="K15" s="5"/>
    </row>
    <row r="16" customFormat="false" ht="35.05" hidden="false" customHeight="false" outlineLevel="0" collapsed="false">
      <c r="A16" s="3" t="s">
        <v>115</v>
      </c>
      <c r="B16" s="3" t="s">
        <v>116</v>
      </c>
      <c r="C16" s="3" t="s">
        <v>117</v>
      </c>
      <c r="D16" s="4" t="s">
        <v>118</v>
      </c>
      <c r="E16" s="3" t="s">
        <v>119</v>
      </c>
      <c r="F16" s="3" t="s">
        <v>120</v>
      </c>
      <c r="G16" s="3" t="s">
        <v>121</v>
      </c>
      <c r="H16" s="3"/>
      <c r="I16" s="3" t="s">
        <v>18</v>
      </c>
      <c r="J16" s="3"/>
      <c r="K16" s="6" t="s">
        <v>122</v>
      </c>
    </row>
    <row r="17" customFormat="false" ht="35.05" hidden="false" customHeight="false" outlineLevel="0" collapsed="false">
      <c r="A17" s="3" t="s">
        <v>123</v>
      </c>
      <c r="B17" s="3" t="s">
        <v>124</v>
      </c>
      <c r="C17" s="3" t="s">
        <v>125</v>
      </c>
      <c r="D17" s="4" t="s">
        <v>126</v>
      </c>
      <c r="E17" s="3" t="s">
        <v>127</v>
      </c>
      <c r="F17" s="3" t="s">
        <v>128</v>
      </c>
      <c r="G17" s="3" t="s">
        <v>129</v>
      </c>
      <c r="H17" s="3"/>
      <c r="I17" s="3" t="s">
        <v>18</v>
      </c>
      <c r="J17" s="3"/>
      <c r="K17" s="5"/>
    </row>
  </sheetData>
  <autoFilter ref="A1:K17"/>
  <conditionalFormatting sqref="I2:I17">
    <cfRule type="expression" priority="2" aboveAverage="0" equalAverage="0" bottom="0" percent="0" rank="0" text="" dxfId="7">
      <formula>$I2="Pass"</formula>
    </cfRule>
    <cfRule type="expression" priority="3" aboveAverage="0" equalAverage="0" bottom="0" percent="0" rank="0" text="" dxfId="8">
      <formula>$I2="Fail"</formula>
    </cfRule>
    <cfRule type="expression" priority="4" aboveAverage="0" equalAverage="0" bottom="0" percent="0" rank="0" text="" dxfId="9">
      <formula>$I2="Blocked"</formula>
    </cfRule>
  </conditionalFormatting>
  <dataValidations count="1">
    <dataValidation allowBlank="true" errorStyle="stop" operator="between" showDropDown="false" showErrorMessage="false" showInputMessage="false" sqref="I2:I17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130</v>
      </c>
      <c r="B1" s="8" t="s">
        <v>131</v>
      </c>
    </row>
    <row r="2" customFormat="false" ht="26.85" hidden="false" customHeight="false" outlineLevel="0" collapsed="false">
      <c r="A2" s="7" t="s">
        <v>132</v>
      </c>
      <c r="B2" s="8" t="s">
        <v>133</v>
      </c>
    </row>
    <row r="3" customFormat="false" ht="15" hidden="false" customHeight="false" outlineLevel="0" collapsed="false">
      <c r="A3" s="7" t="s">
        <v>134</v>
      </c>
      <c r="B3" s="8" t="s">
        <v>135</v>
      </c>
    </row>
    <row r="4" customFormat="false" ht="26.85" hidden="false" customHeight="false" outlineLevel="0" collapsed="false">
      <c r="A4" s="7" t="s">
        <v>136</v>
      </c>
      <c r="B4" s="8" t="s">
        <v>137</v>
      </c>
    </row>
    <row r="6" customFormat="false" ht="15" hidden="false" customHeight="false" outlineLevel="0" collapsed="false">
      <c r="A6" s="9" t="s">
        <v>8</v>
      </c>
      <c r="B6" s="9" t="s">
        <v>138</v>
      </c>
    </row>
    <row r="7" customFormat="false" ht="15" hidden="false" customHeight="false" outlineLevel="0" collapsed="false">
      <c r="A7" s="10" t="s">
        <v>139</v>
      </c>
      <c r="B7" s="10" t="n">
        <f aca="false">COUNTIF('Test Cases'!$I$2:$I$17,A7)</f>
        <v>0</v>
      </c>
    </row>
    <row r="8" customFormat="false" ht="15" hidden="false" customHeight="false" outlineLevel="0" collapsed="false">
      <c r="A8" s="10" t="s">
        <v>140</v>
      </c>
      <c r="B8" s="10" t="n">
        <f aca="false">COUNTIF('Test Cases'!$I$2:$I$17,A8)</f>
        <v>0</v>
      </c>
    </row>
    <row r="9" customFormat="false" ht="15" hidden="false" customHeight="false" outlineLevel="0" collapsed="false">
      <c r="A9" s="10" t="s">
        <v>141</v>
      </c>
      <c r="B9" s="10" t="n">
        <f aca="false">COUNTIF('Test Cases'!$I$2:$I$17,A9)</f>
        <v>0</v>
      </c>
    </row>
    <row r="10" customFormat="false" ht="15" hidden="false" customHeight="false" outlineLevel="0" collapsed="false">
      <c r="A10" s="10" t="s">
        <v>18</v>
      </c>
      <c r="B10" s="10" t="n">
        <f aca="false">COUNTIF('Test Cases'!$I$2:$I$17,A10)</f>
        <v>16</v>
      </c>
    </row>
    <row r="11" customFormat="false" ht="15" hidden="false" customHeight="false" outlineLevel="0" collapsed="false">
      <c r="A11" s="7" t="s">
        <v>142</v>
      </c>
      <c r="B11" s="7" t="n">
        <f aca="false">SUM(B7:B10)</f>
        <v>16</v>
      </c>
    </row>
    <row r="12" customFormat="false" ht="15" hidden="false" customHeight="false" outlineLevel="0" collapsed="false">
      <c r="A12" s="10" t="s">
        <v>143</v>
      </c>
      <c r="B12" s="10" t="n">
        <f aca="false">COUNTIF('Test Cases'!$K$2:$K$17,"LIKELY FAIL*")</f>
        <v>3</v>
      </c>
    </row>
    <row r="14" customFormat="false" ht="42" hidden="false" customHeight="true" outlineLevel="0" collapsed="false">
      <c r="A14" s="11" t="s">
        <v>144</v>
      </c>
      <c r="B14" s="12" t="s">
        <v>145</v>
      </c>
    </row>
    <row r="15" customFormat="false" ht="42" hidden="false" customHeight="true" outlineLevel="0" collapsed="false">
      <c r="A15" s="11" t="s">
        <v>144</v>
      </c>
      <c r="B15" s="12" t="s">
        <v>146</v>
      </c>
    </row>
    <row r="16" customFormat="false" ht="42" hidden="false" customHeight="true" outlineLevel="0" collapsed="false">
      <c r="A16" s="11" t="s">
        <v>144</v>
      </c>
      <c r="B16" s="1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2026-10-09T11:19:52Z</dcterms:created>
  <dc:creator>openpyxl</dc:creator>
  <dc:description/>
  <dc:language>en-US</dc:language>
  <cp:lastModifiedBy/>
  <dcterms:modified xsi:type="dcterms:W3CDTF">2026-10-09T11:19:52Z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