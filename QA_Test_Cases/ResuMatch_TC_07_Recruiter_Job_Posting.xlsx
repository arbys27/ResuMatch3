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  <sheet name="Job Posting Bug" sheetId="3" state="visible" r:id="rId5"/>
  </sheets>
  <definedNames>
    <definedName function="false" hidden="true" localSheetId="0" name="_xlnm._FilterDatabase" vbProcedure="false">'Test Cases'!$A$1:$K$20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<sst xmlns="http://schemas.openxmlformats.org/spreadsheetml/2006/main" count="221" uniqueCount="196">
  <si>
    <t xml:space="preserve">Requirement ID</t>
  </si>
  <si>
    <t xml:space="preserve">Requirement</t>
  </si>
  <si>
    <t xml:space="preserve">Test Case</t>
  </si>
  <si>
    <t xml:space="preserve">Test Case ID</t>
  </si>
  <si>
    <t xml:space="preserve">Test Case Description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</si>
  <si>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</si>
  <si>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</si>
  <si>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</si>
  <si>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</si>
  <si>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</si>
  <si>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Code Review Note</t>
  </si>
  <si>
    <t xml:space="preserve">REQ-JOBP-01</t>
  </si>
  <si>
    <t xml:space="preserve">Recruiter can open the new listing form</t>
  </si>
  <si>
    <t xml:space="preserve">Open Post a new job form</t>
  </si>
  <si>
    <t xml:space="preserve">TC-JOBP01</t>
  </si>
  <si>
    <t xml:space="preserve">Open the job form from Dashboard and Job Management.</t>
  </si>
  <si>
    <t xml:space="preserve">1. Log in as recruiter
2. Dashboard &gt; '+ Post new job'
3. Job Management &gt; '+ New listing'</t>
  </si>
  <si>
    <t xml:space="preserve">Step 2 switches to Job Management. Step 3 opens modal 'Post a new job listing' with Job title*, Location, Work type, Employment type, Description, Requirements.</t>
  </si>
  <si>
    <t xml:space="preserve">Not Run</t>
  </si>
  <si>
    <t xml:space="preserve">REQ-JOBP-02</t>
  </si>
  <si>
    <t xml:space="preserve">Recruiter can publish a job (deployed)</t>
  </si>
  <si>
    <t xml:space="preserve">Publish valid job on deployed site</t>
  </si>
  <si>
    <t xml:space="preserve">TC-JOBP02</t>
  </si>
  <si>
    <t xml:space="preserve">Post a complete job on the deployed link.</t>
  </si>
  <si>
    <t xml:space="preserve">1. https://resumatch-test-production.up.railway.app &gt; log in as recruiter
2. + New listing
3. Fill all fields
4. Publish listing
5. Open DevTools &gt; Network and check the post-job request URL</t>
  </si>
  <si>
    <t xml:space="preserve">Button shows 'Publishing...'; modal closes; job appears at top of list with 'active' badge and 'Posted &lt;date&gt;'. Request goes to the deployed API, returns 200.</t>
  </si>
  <si>
    <t xml:space="preserve">LIKELY FAIL - see 'Job Posting Bug' sheet. Frontend posts to VITE_API_URL || 'http://localhost:3000'. Expected error: 'Failed to connect to the AI server.'</t>
  </si>
  <si>
    <t xml:space="preserve">REQ-JOBP-03</t>
  </si>
  <si>
    <t xml:space="preserve">Recruiter can publish a job (local)</t>
  </si>
  <si>
    <t xml:space="preserve">Publish valid job locally</t>
  </si>
  <si>
    <t xml:space="preserve">TC-JOBP03</t>
  </si>
  <si>
    <t xml:space="preserve">Same as JOBP-02 but with `npm run dev` locally to separate a code bug from a deployment bug.</t>
  </si>
  <si>
    <t xml:space="preserve">1. Run npm run dev with valid .env
2. Post a job at localhost:5173</t>
  </si>
  <si>
    <t xml:space="preserve">Job saved with job_embedding populated.</t>
  </si>
  <si>
    <t xml:space="preserve">If this passes locally but JOBP-02 fails, the issue is deployment config (API URL), not the form.</t>
  </si>
  <si>
    <t xml:space="preserve">REQ-JOBP-04</t>
  </si>
  <si>
    <t xml:space="preserve">Job title is required</t>
  </si>
  <si>
    <t xml:space="preserve">Empty job title</t>
  </si>
  <si>
    <t xml:space="preserve">TC-JOBP04</t>
  </si>
  <si>
    <t xml:space="preserve">Submit with blank title.</t>
  </si>
  <si>
    <t xml:space="preserve">1. Leave Job title empty
2. Publish listing</t>
  </si>
  <si>
    <t xml:space="preserve">Browser blocks submit ('Please fill out this field').</t>
  </si>
  <si>
    <t xml:space="preserve">REQ-JOBP-05</t>
  </si>
  <si>
    <t xml:space="preserve">Whitespace-only title rejected</t>
  </si>
  <si>
    <t xml:space="preserve">Title with spaces only</t>
  </si>
  <si>
    <t xml:space="preserve">TC-JOBP05</t>
  </si>
  <si>
    <t xml:space="preserve">Enter only spaces as title.</t>
  </si>
  <si>
    <t xml:space="preserve">1. Title: '   '
2. Publish</t>
  </si>
  <si>
    <t xml:space="preserve">Rejected with validation message.</t>
  </si>
  <si>
    <t xml:space="preserve">No trim validation on client or server; a blank-looking job can be posted.</t>
  </si>
  <si>
    <t xml:space="preserve">REQ-JOBP-06</t>
  </si>
  <si>
    <t xml:space="preserve">Optional fields can be blank</t>
  </si>
  <si>
    <t xml:space="preserve">Only title filled</t>
  </si>
  <si>
    <t xml:space="preserve">TC-JOBP06</t>
  </si>
  <si>
    <t xml:space="preserve">Publish with only title.</t>
  </si>
  <si>
    <t xml:space="preserve">1. Title: QA Tester
2. Leave others default/blank
3. Publish</t>
  </si>
  <si>
    <t xml:space="preserve">Job saved; list shows 'Location not specified'. Defaults Remote / Full-time saved.</t>
  </si>
  <si>
    <t xml:space="preserve">REQ-JOBP-07</t>
  </si>
  <si>
    <t xml:space="preserve">Dropdown values saved correctly</t>
  </si>
  <si>
    <t xml:space="preserve">Work type / employment type</t>
  </si>
  <si>
    <t xml:space="preserve">TC-JOBP07</t>
  </si>
  <si>
    <t xml:space="preserve">Choose Hybrid + Contract.</t>
  </si>
  <si>
    <t xml:space="preserve">1. Work type Hybrid, Employment Contract
2. Publish</t>
  </si>
  <si>
    <t xml:space="preserve">Listing shows 'Hybrid - Contract'.</t>
  </si>
  <si>
    <t xml:space="preserve">REQ-JOBP-08</t>
  </si>
  <si>
    <t xml:space="preserve">Script / HTML characters handled safely</t>
  </si>
  <si>
    <t xml:space="preserve">XSS in job fields</t>
  </si>
  <si>
    <t xml:space="preserve">TC-JOBP08</t>
  </si>
  <si>
    <t xml:space="preserve">Enter HTML in title/description.</t>
  </si>
  <si>
    <t xml:space="preserve">1. Title: &lt;img src=x onerror=alert(1)&gt;
2. Publish
3. View as recruiter and as candidate</t>
  </si>
  <si>
    <t xml:space="preserve">Text is rendered literally, no script runs (or input rejected like sign-up).</t>
  </si>
  <si>
    <t xml:space="preserve">React escapes output, but sign-up rejects &lt; &gt; while job form does not - inconsistent rule.</t>
  </si>
  <si>
    <t xml:space="preserve">REQ-JOBP-09</t>
  </si>
  <si>
    <t xml:space="preserve">Very long input handled</t>
  </si>
  <si>
    <t xml:space="preserve">Max length description</t>
  </si>
  <si>
    <t xml:space="preserve">TC-JOBP09</t>
  </si>
  <si>
    <t xml:space="preserve">Paste 10,000+ characters in description.</t>
  </si>
  <si>
    <t xml:space="preserve">1. Paste long text
2. Publish</t>
  </si>
  <si>
    <t xml:space="preserve">Saved or clear length error; no crash/timeout.</t>
  </si>
  <si>
    <t xml:space="preserve">REQ-JOBP-10</t>
  </si>
  <si>
    <t xml:space="preserve">Errors shown inside form</t>
  </si>
  <si>
    <t xml:space="preserve">Server error message</t>
  </si>
  <si>
    <t xml:space="preserve">TC-JOBP10</t>
  </si>
  <si>
    <t xml:space="preserve">Force a server error (e.g., stop the API server).</t>
  </si>
  <si>
    <t xml:space="preserve">1. Stop backend
2. Publish</t>
  </si>
  <si>
    <t xml:space="preserve">Red message in modal; modal stays open with entered data.</t>
  </si>
  <si>
    <t xml:space="preserve">REQ-JOBP-11</t>
  </si>
  <si>
    <t xml:space="preserve">Double submit prevented</t>
  </si>
  <si>
    <t xml:space="preserve">Double-click Publish</t>
  </si>
  <si>
    <t xml:space="preserve">TC-JOBP11</t>
  </si>
  <si>
    <t xml:space="preserve">Double-click Publish listing.</t>
  </si>
  <si>
    <t xml:space="preserve">1. Fill form
2. Double-click Publish</t>
  </si>
  <si>
    <t xml:space="preserve">Only one job created.</t>
  </si>
  <si>
    <t xml:space="preserve">REQ-JOBP-12</t>
  </si>
  <si>
    <t xml:space="preserve">Cancel discards form</t>
  </si>
  <si>
    <t xml:space="preserve">Cancel / close form</t>
  </si>
  <si>
    <t xml:space="preserve">TC-JOBP12</t>
  </si>
  <si>
    <t xml:space="preserve">Cancel the modal.</t>
  </si>
  <si>
    <t xml:space="preserve">1. Type data
2. Click Cancel / X / overlay
3. Reopen</t>
  </si>
  <si>
    <t xml:space="preserve">Modal closes; reopened form is empty.</t>
  </si>
  <si>
    <t xml:space="preserve">REQ-JOBP-13</t>
  </si>
  <si>
    <t xml:space="preserve">Recruiter sees only own listings</t>
  </si>
  <si>
    <t xml:space="preserve">Listing isolation</t>
  </si>
  <si>
    <t xml:space="preserve">TC-JOBP13</t>
  </si>
  <si>
    <t xml:space="preserve">Two recruiters each post a job.</t>
  </si>
  <si>
    <t xml:space="preserve">1. Recruiter A posts 'A-Job'
2. Recruiter B logs in</t>
  </si>
  <si>
    <t xml:space="preserve">B does not see A-Job in Job Management or Dashboard.</t>
  </si>
  <si>
    <t xml:space="preserve">REQ-JOBP-14</t>
  </si>
  <si>
    <t xml:space="preserve">Recruiter can delete own listing</t>
  </si>
  <si>
    <t xml:space="preserve">Delete listing</t>
  </si>
  <si>
    <t xml:space="preserve">TC-JOBP14</t>
  </si>
  <si>
    <t xml:space="preserve">Delete a job.</t>
  </si>
  <si>
    <t xml:space="preserve">1. Click Delete on a job
2. Confirm in browser dialog</t>
  </si>
  <si>
    <t xml:space="preserve">Job removed from list and DB; candidates no longer see it.</t>
  </si>
  <si>
    <t xml:space="preserve">REQ-JOBP-15</t>
  </si>
  <si>
    <t xml:space="preserve">Delete can be cancelled</t>
  </si>
  <si>
    <t xml:space="preserve">Cancel delete</t>
  </si>
  <si>
    <t xml:space="preserve">TC-JOBP15</t>
  </si>
  <si>
    <t xml:space="preserve">Dismiss the confirm dialog.</t>
  </si>
  <si>
    <t xml:space="preserve">1. Delete &gt; Cancel</t>
  </si>
  <si>
    <t xml:space="preserve">Job remains.</t>
  </si>
  <si>
    <t xml:space="preserve">REQ-JOBP-16</t>
  </si>
  <si>
    <t xml:space="preserve">Listing shows applicant count and top match</t>
  </si>
  <si>
    <t xml:space="preserve">Applicant count / top match</t>
  </si>
  <si>
    <t xml:space="preserve">TC-JOBP16</t>
  </si>
  <si>
    <t xml:space="preserve">Check counts after candidates apply.</t>
  </si>
  <si>
    <t xml:space="preserve">1. 2 candidates apply (scores 80, 65)
2. Recruiter opens Job Management</t>
  </si>
  <si>
    <t xml:space="preserve">Card shows 2 applicants, top match 80%.</t>
  </si>
  <si>
    <t xml:space="preserve">REQ-JOBP-17</t>
  </si>
  <si>
    <t xml:space="preserve">Review button goes to applicants</t>
  </si>
  <si>
    <t xml:space="preserve">Review button</t>
  </si>
  <si>
    <t xml:space="preserve">TC-JOBP17</t>
  </si>
  <si>
    <t xml:space="preserve">Click Review on a listing.</t>
  </si>
  <si>
    <t xml:space="preserve">1. Click Review</t>
  </si>
  <si>
    <t xml:space="preserve">Opens Applicant Tracking.</t>
  </si>
  <si>
    <t xml:space="preserve">Opens the full applicant list, not filtered to that job.</t>
  </si>
  <si>
    <t xml:space="preserve">REQ-JOBP-18</t>
  </si>
  <si>
    <t xml:space="preserve">Recruiter can edit or close a listing</t>
  </si>
  <si>
    <t xml:space="preserve">Edit / close listing</t>
  </si>
  <si>
    <t xml:space="preserve">TC-JOBP18</t>
  </si>
  <si>
    <t xml:space="preserve">Look for edit or close (status) option.</t>
  </si>
  <si>
    <t xml:space="preserve">1. Inspect a listing card</t>
  </si>
  <si>
    <t xml:space="preserve">Edit and Close options exist (per BRD).</t>
  </si>
  <si>
    <t xml:space="preserve">Not implemented: only Review and Delete exist. Status is always 'active'.</t>
  </si>
  <si>
    <t xml:space="preserve">REQ-JOBP-19</t>
  </si>
  <si>
    <t xml:space="preserve">New job is matchable by candidates</t>
  </si>
  <si>
    <t xml:space="preserve">Embedding generated</t>
  </si>
  <si>
    <t xml:space="preserve">TC-JOBP19</t>
  </si>
  <si>
    <t xml:space="preserve">Confirm new job gets a vector and appears in candidate recommendations.</t>
  </si>
  <si>
    <t xml:space="preserve">1. Post job matching a test candidate's skills
2. Check job_postings.job_embedding not null
3. Candidate refreshes dashboard</t>
  </si>
  <si>
    <t xml:space="preserve">Embedding populated; job appears in candidate's Recommended list with a match %.</t>
  </si>
  <si>
    <t xml:space="preserve">Module</t>
  </si>
  <si>
    <t xml:space="preserve">Recruiter Job Posting &amp; Job Management</t>
  </si>
  <si>
    <t xml:space="preserve">Source code covered</t>
  </si>
  <si>
    <t xml:space="preserve">RecruiterDashboard.jsx Jobs + JobFormModal, server.js /api/post-job, job_postings table</t>
  </si>
  <si>
    <t xml:space="preserve">Environment</t>
  </si>
  <si>
    <t xml:space="preserve">resumatch-test-production.up.railway.app</t>
  </si>
  <si>
    <t xml:space="preserve">Prepared</t>
  </si>
  <si>
    <t xml:space="preserve">Generated from code review of the Resumatch repo (commit 067ff01, Oct 6 2026)</t>
  </si>
  <si>
    <t xml:space="preserve">Count</t>
  </si>
  <si>
    <t xml:space="preserve">Pass</t>
  </si>
  <si>
    <t xml:space="preserve">Fail</t>
  </si>
  <si>
    <t xml:space="preserve">Blocked</t>
  </si>
  <si>
    <t xml:space="preserve">Total</t>
  </si>
  <si>
    <t xml:space="preserve">Code review flags</t>
  </si>
  <si>
    <t xml:space="preserve">Note</t>
  </si>
  <si>
    <t xml:space="preserve">How to use: run each case, then fill Actual Result, set Status from the drop-down (Not Run / Pass / Fail / Blocked) and attach Evidence (screenshot link). Counts above update automatically.</t>
  </si>
  <si>
    <t xml:space="preserve">Requirement IDs (REQ-xxx) are placeholders taken from the code. Replace them with your BRD FR numbers.</t>
  </si>
  <si>
    <t xml:space="preserve">Code Review Note (yellow) is what the source code suggests will happen. 'LIKELY FAIL' means the code does not do what the expected result requires. It is a prediction, not an executed result: confirm it on the deployed site before logging a bug.</t>
  </si>
  <si>
    <t xml:space="preserve">Bug ID</t>
  </si>
  <si>
    <t xml:space="preserve">BUG-004 (proposed)</t>
  </si>
  <si>
    <t xml:space="preserve">Title</t>
  </si>
  <si>
    <t xml:space="preserve">Recruiter cannot publish a job on the deployed site</t>
  </si>
  <si>
    <t xml:space="preserve">Recruiter &gt; Job Management &gt; Post a new job listing</t>
  </si>
  <si>
    <t xml:space="preserve">Severity / Priority</t>
  </si>
  <si>
    <t xml:space="preserve">Critical / High: blocks the core recruiter flow and all candidate matching</t>
  </si>
  <si>
    <t xml:space="preserve">https://resumatch-test-production.up.railway.app</t>
  </si>
  <si>
    <t xml:space="preserve">Steps to reproduce</t>
  </si>
  <si>
    <t xml:space="preserve">1. Log in as recruiter
2. Job Management &gt; + New listing
3. Fill in the form
4. Click Publish listing</t>
  </si>
  <si>
    <t xml:space="preserve">Expected</t>
  </si>
  <si>
    <t xml:space="preserve">Job is saved and shown at the top of 'Your listings'</t>
  </si>
  <si>
    <t xml:space="preserve">Actual (expected from code)</t>
  </si>
  <si>
    <t xml:space="preserve">'Failed to connect to the AI server.' in the modal, or the old 'Recruiter Portal' placeholder with no form at all (see Cause 2)</t>
  </si>
  <si>
    <t xml:space="preserve">Cause 1: API URL (code)</t>
  </si>
  <si>
    <t xml:space="preserve">RecruiterDashboard.jsx line 314: fetch(`${import.meta.env.VITE_API_URL || 'http://localhost:3000'}/api/post-job`). Vite bakes VITE_ variables in at BUILD time. If VITE_API_URL isn't set on the frontend service before the build, the deployed page calls http://localhost:3000, which is the tester's own computer. The browser also blocks http calls from an https page (mixed content). ProfileModal.jsx line 150 hard-codes the same localhost URL for resume parsing.</t>
  </si>
  <si>
    <t xml:space="preserve">Cause 2: build fails on Railway (code)</t>
  </si>
  <si>
    <t xml:space="preserve">CandidateDashboard.jsx line 5 imports '../components/FilterModal', but the file in git is 'FIlterModal.jsx' (capital I). Windows ignores letter case so it works on your laptop. Railway builds on Linux, where case matters, so `vite build` fails with 'Could not resolve ../components/FilterModal'. When a build fails, Railway keeps serving the LAST SUCCESSFUL deploy. The earlier test reports match commit 1b748c5 (Sep 25): mock jobs 91/84/67%, localhost /api/login ('Failed to fetch', BUG-002), and the 'Recruiter Portal' placeholder. Every commit since Oct 4 brings back the mis-cased import.</t>
  </si>
  <si>
    <t xml:space="preserve">Cause 3: server setup</t>
  </si>
  <si>
    <t xml:space="preserve">package.json 'start' runs `node server.js`, which only exposes /api routes. It doesn't serve the built React app (no express.static('dist')). The frontend and the API therefore need either two Railway services, with VITE_API_URL pointing at the API service, or server.js changed to serve dist/ so the app can call the relative path '/api/post-job'.</t>
  </si>
  <si>
    <t xml:space="preserve">Cause 4: check in Railway logs</t>
  </si>
  <si>
    <t xml:space="preserve">If the request does reach the API: check that GEMINI_API_KEY, SUPABASE_URL and SUPABASE_SERVICE_KEY are set on the API service. Also check that the job_embedding column size matches the embedding length. gemini-embedding-2 returns 3072 values by default, so a vector(768) column fails with 'expected 768 dimensions'.</t>
  </si>
  <si>
    <t xml:space="preserve">Suggested fix</t>
  </si>
  <si>
    <t xml:space="preserve">a) Rename FIlterModal.jsx to FilterModal.jsx using `git mv src/presentation/components/FIlterModal.jsx src/presentation/components/FilterModal.jsx` (on Windows, rename through a temporary name first).
b) Replace the hard-coded API URLs with one helper: const API_URL = import.meta.env.VITE_API_URL ?? ''; and use it in ProfileModal too.
c) Either set VITE_API_URL=https://&lt;api-service&gt;.up.railway.app on the frontend service and redeploy, or serve dist/ from server.js and leave VITE_API_URL empty.
d) Fix the Google redirect: redirectTo: window.location.origin + path.</t>
  </si>
  <si>
    <t xml:space="preserve">How to confirm</t>
  </si>
  <si>
    <t xml:space="preserve">Railway &gt; Deployments: look for failed builds after Sep 25. DevTools &gt; Network on the deployed site: the post-job request URL shows localhost:3000. Run `npm run build` locally under WSL/Linux or in GitHub Actions to reproduce the case error.</t>
  </si>
  <si>
    <t xml:space="preserve">Diagnosed from source code only. Not yet reproduced on the live URL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</si>
</sst>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FF6600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7" min="7" style="0" width="44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4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46.25" hidden="false" customHeight="false" outlineLevel="0" collapsed="false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/>
      <c r="I2" s="3" t="s">
        <v>18</v>
      </c>
      <c r="J2" s="3"/>
      <c r="K2" s="5"/>
    </row>
    <row r="3" customFormat="false" ht="79.85" hidden="false" customHeight="false" outlineLevel="0" collapsed="false">
      <c r="A3" s="3" t="s">
        <v>19</v>
      </c>
      <c r="B3" s="3" t="s">
        <v>20</v>
      </c>
      <c r="C3" s="3" t="s">
        <v>21</v>
      </c>
      <c r="D3" s="4" t="s">
        <v>22</v>
      </c>
      <c r="E3" s="3" t="s">
        <v>23</v>
      </c>
      <c r="F3" s="3" t="s">
        <v>24</v>
      </c>
      <c r="G3" s="3" t="s">
        <v>25</v>
      </c>
      <c r="H3" s="3"/>
      <c r="I3" s="3" t="s">
        <v>18</v>
      </c>
      <c r="J3" s="3"/>
      <c r="K3" s="6" t="s">
        <v>26</v>
      </c>
    </row>
    <row r="4" customFormat="false" ht="35.05" hidden="false" customHeight="false" outlineLevel="0" collapsed="false">
      <c r="A4" s="3" t="s">
        <v>27</v>
      </c>
      <c r="B4" s="3" t="s">
        <v>28</v>
      </c>
      <c r="C4" s="3" t="s">
        <v>29</v>
      </c>
      <c r="D4" s="4" t="s">
        <v>30</v>
      </c>
      <c r="E4" s="3" t="s">
        <v>31</v>
      </c>
      <c r="F4" s="3" t="s">
        <v>32</v>
      </c>
      <c r="G4" s="3" t="s">
        <v>33</v>
      </c>
      <c r="H4" s="3"/>
      <c r="I4" s="3" t="s">
        <v>18</v>
      </c>
      <c r="J4" s="3"/>
      <c r="K4" s="6" t="s">
        <v>34</v>
      </c>
    </row>
    <row r="5" customFormat="false" ht="23.85" hidden="false" customHeight="false" outlineLevel="0" collapsed="false">
      <c r="A5" s="3" t="s">
        <v>35</v>
      </c>
      <c r="B5" s="3" t="s">
        <v>36</v>
      </c>
      <c r="C5" s="3" t="s">
        <v>37</v>
      </c>
      <c r="D5" s="4" t="s">
        <v>38</v>
      </c>
      <c r="E5" s="3" t="s">
        <v>39</v>
      </c>
      <c r="F5" s="3" t="s">
        <v>40</v>
      </c>
      <c r="G5" s="3" t="s">
        <v>41</v>
      </c>
      <c r="H5" s="3"/>
      <c r="I5" s="3" t="s">
        <v>18</v>
      </c>
      <c r="J5" s="3"/>
      <c r="K5" s="5"/>
    </row>
    <row r="6" customFormat="false" ht="23.85" hidden="false" customHeight="false" outlineLevel="0" collapsed="false">
      <c r="A6" s="3" t="s">
        <v>42</v>
      </c>
      <c r="B6" s="3" t="s">
        <v>43</v>
      </c>
      <c r="C6" s="3" t="s">
        <v>44</v>
      </c>
      <c r="D6" s="4" t="s">
        <v>45</v>
      </c>
      <c r="E6" s="3" t="s">
        <v>46</v>
      </c>
      <c r="F6" s="3" t="s">
        <v>47</v>
      </c>
      <c r="G6" s="3" t="s">
        <v>48</v>
      </c>
      <c r="H6" s="3"/>
      <c r="I6" s="3" t="s">
        <v>18</v>
      </c>
      <c r="J6" s="3"/>
      <c r="K6" s="6" t="s">
        <v>49</v>
      </c>
    </row>
    <row r="7" customFormat="false" ht="35.05" hidden="false" customHeight="false" outlineLevel="0" collapsed="false">
      <c r="A7" s="3" t="s">
        <v>50</v>
      </c>
      <c r="B7" s="3" t="s">
        <v>51</v>
      </c>
      <c r="C7" s="3" t="s">
        <v>52</v>
      </c>
      <c r="D7" s="4" t="s">
        <v>53</v>
      </c>
      <c r="E7" s="3" t="s">
        <v>54</v>
      </c>
      <c r="F7" s="3" t="s">
        <v>55</v>
      </c>
      <c r="G7" s="3" t="s">
        <v>56</v>
      </c>
      <c r="H7" s="3"/>
      <c r="I7" s="3" t="s">
        <v>18</v>
      </c>
      <c r="J7" s="3"/>
      <c r="K7" s="5"/>
    </row>
    <row r="8" customFormat="false" ht="23.85" hidden="false" customHeight="false" outlineLevel="0" collapsed="false">
      <c r="A8" s="3" t="s">
        <v>57</v>
      </c>
      <c r="B8" s="3" t="s">
        <v>58</v>
      </c>
      <c r="C8" s="3" t="s">
        <v>59</v>
      </c>
      <c r="D8" s="4" t="s">
        <v>60</v>
      </c>
      <c r="E8" s="3" t="s">
        <v>61</v>
      </c>
      <c r="F8" s="3" t="s">
        <v>62</v>
      </c>
      <c r="G8" s="3" t="s">
        <v>63</v>
      </c>
      <c r="H8" s="3"/>
      <c r="I8" s="3" t="s">
        <v>18</v>
      </c>
      <c r="J8" s="3"/>
      <c r="K8" s="5"/>
    </row>
    <row r="9" customFormat="false" ht="35.05" hidden="false" customHeight="false" outlineLevel="0" collapsed="false">
      <c r="A9" s="3" t="s">
        <v>64</v>
      </c>
      <c r="B9" s="3" t="s">
        <v>65</v>
      </c>
      <c r="C9" s="3" t="s">
        <v>66</v>
      </c>
      <c r="D9" s="4" t="s">
        <v>67</v>
      </c>
      <c r="E9" s="3" t="s">
        <v>68</v>
      </c>
      <c r="F9" s="3" t="s">
        <v>69</v>
      </c>
      <c r="G9" s="3" t="s">
        <v>70</v>
      </c>
      <c r="H9" s="3"/>
      <c r="I9" s="3" t="s">
        <v>18</v>
      </c>
      <c r="J9" s="3"/>
      <c r="K9" s="6" t="s">
        <v>71</v>
      </c>
    </row>
    <row r="10" customFormat="false" ht="23.85" hidden="false" customHeight="false" outlineLevel="0" collapsed="false">
      <c r="A10" s="3" t="s">
        <v>72</v>
      </c>
      <c r="B10" s="3" t="s">
        <v>73</v>
      </c>
      <c r="C10" s="3" t="s">
        <v>74</v>
      </c>
      <c r="D10" s="4" t="s">
        <v>75</v>
      </c>
      <c r="E10" s="3" t="s">
        <v>76</v>
      </c>
      <c r="F10" s="3" t="s">
        <v>77</v>
      </c>
      <c r="G10" s="3" t="s">
        <v>78</v>
      </c>
      <c r="H10" s="3"/>
      <c r="I10" s="3" t="s">
        <v>18</v>
      </c>
      <c r="J10" s="3"/>
      <c r="K10" s="5"/>
    </row>
    <row r="11" customFormat="false" ht="23.85" hidden="false" customHeight="false" outlineLevel="0" collapsed="false">
      <c r="A11" s="3" t="s">
        <v>79</v>
      </c>
      <c r="B11" s="3" t="s">
        <v>80</v>
      </c>
      <c r="C11" s="3" t="s">
        <v>81</v>
      </c>
      <c r="D11" s="4" t="s">
        <v>82</v>
      </c>
      <c r="E11" s="3" t="s">
        <v>83</v>
      </c>
      <c r="F11" s="3" t="s">
        <v>84</v>
      </c>
      <c r="G11" s="3" t="s">
        <v>85</v>
      </c>
      <c r="H11" s="3"/>
      <c r="I11" s="3" t="s">
        <v>18</v>
      </c>
      <c r="J11" s="3"/>
      <c r="K11" s="5"/>
    </row>
    <row r="12" customFormat="false" ht="23.85" hidden="false" customHeight="false" outlineLevel="0" collapsed="false">
      <c r="A12" s="3" t="s">
        <v>86</v>
      </c>
      <c r="B12" s="3" t="s">
        <v>87</v>
      </c>
      <c r="C12" s="3" t="s">
        <v>88</v>
      </c>
      <c r="D12" s="4" t="s">
        <v>89</v>
      </c>
      <c r="E12" s="3" t="s">
        <v>90</v>
      </c>
      <c r="F12" s="3" t="s">
        <v>91</v>
      </c>
      <c r="G12" s="3" t="s">
        <v>92</v>
      </c>
      <c r="H12" s="3"/>
      <c r="I12" s="3" t="s">
        <v>18</v>
      </c>
      <c r="J12" s="3"/>
      <c r="K12" s="5"/>
    </row>
    <row r="13" customFormat="false" ht="35.05" hidden="false" customHeight="false" outlineLevel="0" collapsed="false">
      <c r="A13" s="3" t="s">
        <v>93</v>
      </c>
      <c r="B13" s="3" t="s">
        <v>94</v>
      </c>
      <c r="C13" s="3" t="s">
        <v>95</v>
      </c>
      <c r="D13" s="4" t="s">
        <v>96</v>
      </c>
      <c r="E13" s="3" t="s">
        <v>97</v>
      </c>
      <c r="F13" s="3" t="s">
        <v>98</v>
      </c>
      <c r="G13" s="3" t="s">
        <v>99</v>
      </c>
      <c r="H13" s="3"/>
      <c r="I13" s="3" t="s">
        <v>18</v>
      </c>
      <c r="J13" s="3"/>
      <c r="K13" s="5"/>
    </row>
    <row r="14" customFormat="false" ht="23.85" hidden="false" customHeight="false" outlineLevel="0" collapsed="false">
      <c r="A14" s="3" t="s">
        <v>100</v>
      </c>
      <c r="B14" s="3" t="s">
        <v>101</v>
      </c>
      <c r="C14" s="3" t="s">
        <v>102</v>
      </c>
      <c r="D14" s="4" t="s">
        <v>103</v>
      </c>
      <c r="E14" s="3" t="s">
        <v>104</v>
      </c>
      <c r="F14" s="3" t="s">
        <v>105</v>
      </c>
      <c r="G14" s="3" t="s">
        <v>106</v>
      </c>
      <c r="H14" s="3"/>
      <c r="I14" s="3" t="s">
        <v>18</v>
      </c>
      <c r="J14" s="3"/>
      <c r="K14" s="5"/>
    </row>
    <row r="15" customFormat="false" ht="23.85" hidden="false" customHeight="false" outlineLevel="0" collapsed="false">
      <c r="A15" s="3" t="s">
        <v>107</v>
      </c>
      <c r="B15" s="3" t="s">
        <v>108</v>
      </c>
      <c r="C15" s="3" t="s">
        <v>109</v>
      </c>
      <c r="D15" s="4" t="s">
        <v>110</v>
      </c>
      <c r="E15" s="3" t="s">
        <v>111</v>
      </c>
      <c r="F15" s="3" t="s">
        <v>112</v>
      </c>
      <c r="G15" s="3" t="s">
        <v>113</v>
      </c>
      <c r="H15" s="3"/>
      <c r="I15" s="3" t="s">
        <v>18</v>
      </c>
      <c r="J15" s="3"/>
      <c r="K15" s="5"/>
    </row>
    <row r="16" customFormat="false" ht="15" hidden="false" customHeight="false" outlineLevel="0" collapsed="false">
      <c r="A16" s="3" t="s">
        <v>114</v>
      </c>
      <c r="B16" s="3" t="s">
        <v>115</v>
      </c>
      <c r="C16" s="3" t="s">
        <v>116</v>
      </c>
      <c r="D16" s="4" t="s">
        <v>117</v>
      </c>
      <c r="E16" s="3" t="s">
        <v>118</v>
      </c>
      <c r="F16" s="3" t="s">
        <v>119</v>
      </c>
      <c r="G16" s="3" t="s">
        <v>120</v>
      </c>
      <c r="H16" s="3"/>
      <c r="I16" s="3" t="s">
        <v>18</v>
      </c>
      <c r="J16" s="3"/>
      <c r="K16" s="5"/>
    </row>
    <row r="17" customFormat="false" ht="23.85" hidden="false" customHeight="false" outlineLevel="0" collapsed="false">
      <c r="A17" s="3" t="s">
        <v>121</v>
      </c>
      <c r="B17" s="3" t="s">
        <v>122</v>
      </c>
      <c r="C17" s="3" t="s">
        <v>123</v>
      </c>
      <c r="D17" s="4" t="s">
        <v>124</v>
      </c>
      <c r="E17" s="3" t="s">
        <v>125</v>
      </c>
      <c r="F17" s="3" t="s">
        <v>126</v>
      </c>
      <c r="G17" s="3" t="s">
        <v>127</v>
      </c>
      <c r="H17" s="3"/>
      <c r="I17" s="3" t="s">
        <v>18</v>
      </c>
      <c r="J17" s="3"/>
      <c r="K17" s="5"/>
    </row>
    <row r="18" customFormat="false" ht="15" hidden="false" customHeight="false" outlineLevel="0" collapsed="false">
      <c r="A18" s="3" t="s">
        <v>128</v>
      </c>
      <c r="B18" s="3" t="s">
        <v>129</v>
      </c>
      <c r="C18" s="3" t="s">
        <v>130</v>
      </c>
      <c r="D18" s="4" t="s">
        <v>131</v>
      </c>
      <c r="E18" s="3" t="s">
        <v>132</v>
      </c>
      <c r="F18" s="3" t="s">
        <v>133</v>
      </c>
      <c r="G18" s="3" t="s">
        <v>134</v>
      </c>
      <c r="H18" s="3"/>
      <c r="I18" s="3" t="s">
        <v>18</v>
      </c>
      <c r="J18" s="3"/>
      <c r="K18" s="6" t="s">
        <v>135</v>
      </c>
    </row>
    <row r="19" customFormat="false" ht="23.85" hidden="false" customHeight="false" outlineLevel="0" collapsed="false">
      <c r="A19" s="3" t="s">
        <v>136</v>
      </c>
      <c r="B19" s="3" t="s">
        <v>137</v>
      </c>
      <c r="C19" s="3" t="s">
        <v>138</v>
      </c>
      <c r="D19" s="4" t="s">
        <v>139</v>
      </c>
      <c r="E19" s="3" t="s">
        <v>140</v>
      </c>
      <c r="F19" s="3" t="s">
        <v>141</v>
      </c>
      <c r="G19" s="3" t="s">
        <v>142</v>
      </c>
      <c r="H19" s="3"/>
      <c r="I19" s="3" t="s">
        <v>18</v>
      </c>
      <c r="J19" s="3"/>
      <c r="K19" s="6" t="s">
        <v>143</v>
      </c>
    </row>
    <row r="20" customFormat="false" ht="35.05" hidden="false" customHeight="false" outlineLevel="0" collapsed="false">
      <c r="A20" s="3" t="s">
        <v>144</v>
      </c>
      <c r="B20" s="3" t="s">
        <v>145</v>
      </c>
      <c r="C20" s="3" t="s">
        <v>146</v>
      </c>
      <c r="D20" s="4" t="s">
        <v>147</v>
      </c>
      <c r="E20" s="3" t="s">
        <v>148</v>
      </c>
      <c r="F20" s="3" t="s">
        <v>149</v>
      </c>
      <c r="G20" s="3" t="s">
        <v>150</v>
      </c>
      <c r="H20" s="3"/>
      <c r="I20" s="3" t="s">
        <v>18</v>
      </c>
      <c r="J20" s="3"/>
      <c r="K20" s="5"/>
    </row>
  </sheetData>
  <autoFilter ref="A1:K20"/>
  <conditionalFormatting sqref="I2:I20">
    <cfRule type="expression" priority="2" aboveAverage="0" equalAverage="0" bottom="0" percent="0" rank="0" text="" dxfId="7">
      <formula>$I2="Pass"</formula>
    </cfRule>
    <cfRule type="expression" priority="3" aboveAverage="0" equalAverage="0" bottom="0" percent="0" rank="0" text="" dxfId="8">
      <formula>$I2="Fail"</formula>
    </cfRule>
    <cfRule type="expression" priority="4" aboveAverage="0" equalAverage="0" bottom="0" percent="0" rank="0" text="" dxfId="9">
      <formula>$I2="Blocked"</formula>
    </cfRule>
  </conditionalFormatting>
  <dataValidations count="1">
    <dataValidation allowBlank="true" errorStyle="stop" operator="between" showDropDown="false" showErrorMessage="false" showInputMessage="false" sqref="I2:I20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151</v>
      </c>
      <c r="B1" s="8" t="s">
        <v>152</v>
      </c>
    </row>
    <row r="2" customFormat="false" ht="26.85" hidden="false" customHeight="false" outlineLevel="0" collapsed="false">
      <c r="A2" s="7" t="s">
        <v>153</v>
      </c>
      <c r="B2" s="8" t="s">
        <v>154</v>
      </c>
    </row>
    <row r="3" customFormat="false" ht="15" hidden="false" customHeight="false" outlineLevel="0" collapsed="false">
      <c r="A3" s="7" t="s">
        <v>155</v>
      </c>
      <c r="B3" s="8" t="s">
        <v>156</v>
      </c>
    </row>
    <row r="4" customFormat="false" ht="26.85" hidden="false" customHeight="false" outlineLevel="0" collapsed="false">
      <c r="A4" s="7" t="s">
        <v>157</v>
      </c>
      <c r="B4" s="8" t="s">
        <v>158</v>
      </c>
    </row>
    <row r="6" customFormat="false" ht="15" hidden="false" customHeight="false" outlineLevel="0" collapsed="false">
      <c r="A6" s="9" t="s">
        <v>8</v>
      </c>
      <c r="B6" s="9" t="s">
        <v>159</v>
      </c>
    </row>
    <row r="7" customFormat="false" ht="15" hidden="false" customHeight="false" outlineLevel="0" collapsed="false">
      <c r="A7" s="10" t="s">
        <v>160</v>
      </c>
      <c r="B7" s="10" t="n">
        <f aca="false">COUNTIF('Test Cases'!$I$2:$I$20,A7)</f>
        <v>0</v>
      </c>
    </row>
    <row r="8" customFormat="false" ht="15" hidden="false" customHeight="false" outlineLevel="0" collapsed="false">
      <c r="A8" s="10" t="s">
        <v>161</v>
      </c>
      <c r="B8" s="10" t="n">
        <f aca="false">COUNTIF('Test Cases'!$I$2:$I$20,A8)</f>
        <v>0</v>
      </c>
    </row>
    <row r="9" customFormat="false" ht="15" hidden="false" customHeight="false" outlineLevel="0" collapsed="false">
      <c r="A9" s="10" t="s">
        <v>162</v>
      </c>
      <c r="B9" s="10" t="n">
        <f aca="false">COUNTIF('Test Cases'!$I$2:$I$20,A9)</f>
        <v>0</v>
      </c>
    </row>
    <row r="10" customFormat="false" ht="15" hidden="false" customHeight="false" outlineLevel="0" collapsed="false">
      <c r="A10" s="10" t="s">
        <v>18</v>
      </c>
      <c r="B10" s="10" t="n">
        <f aca="false">COUNTIF('Test Cases'!$I$2:$I$20,A10)</f>
        <v>19</v>
      </c>
    </row>
    <row r="11" customFormat="false" ht="15" hidden="false" customHeight="false" outlineLevel="0" collapsed="false">
      <c r="A11" s="7" t="s">
        <v>163</v>
      </c>
      <c r="B11" s="7" t="n">
        <f aca="false">SUM(B7:B10)</f>
        <v>19</v>
      </c>
    </row>
    <row r="12" customFormat="false" ht="15" hidden="false" customHeight="false" outlineLevel="0" collapsed="false">
      <c r="A12" s="10" t="s">
        <v>164</v>
      </c>
      <c r="B12" s="10" t="n">
        <f aca="false">COUNTIF('Test Cases'!$K$2:$K$20,"LIKELY FAIL*")</f>
        <v>1</v>
      </c>
    </row>
    <row r="14" customFormat="false" ht="42" hidden="false" customHeight="true" outlineLevel="0" collapsed="false">
      <c r="A14" s="11" t="s">
        <v>165</v>
      </c>
      <c r="B14" s="12" t="s">
        <v>166</v>
      </c>
    </row>
    <row r="15" customFormat="false" ht="42" hidden="false" customHeight="true" outlineLevel="0" collapsed="false">
      <c r="A15" s="11" t="s">
        <v>165</v>
      </c>
      <c r="B15" s="12" t="s">
        <v>167</v>
      </c>
    </row>
    <row r="16" customFormat="false" ht="42" hidden="false" customHeight="true" outlineLevel="0" collapsed="false">
      <c r="A16" s="11" t="s">
        <v>165</v>
      </c>
      <c r="B16" s="12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3" t="s">
        <v>169</v>
      </c>
      <c r="B1" s="14" t="s">
        <v>170</v>
      </c>
    </row>
    <row r="2" customFormat="false" ht="15" hidden="false" customHeight="false" outlineLevel="0" collapsed="false">
      <c r="A2" s="13" t="s">
        <v>171</v>
      </c>
      <c r="B2" s="14" t="s">
        <v>172</v>
      </c>
    </row>
    <row r="3" customFormat="false" ht="15" hidden="false" customHeight="false" outlineLevel="0" collapsed="false">
      <c r="A3" s="13" t="s">
        <v>151</v>
      </c>
      <c r="B3" s="14" t="s">
        <v>173</v>
      </c>
    </row>
    <row r="4" customFormat="false" ht="15" hidden="false" customHeight="false" outlineLevel="0" collapsed="false">
      <c r="A4" s="13" t="s">
        <v>174</v>
      </c>
      <c r="B4" s="14" t="s">
        <v>175</v>
      </c>
    </row>
    <row r="5" customFormat="false" ht="15" hidden="false" customHeight="false" outlineLevel="0" collapsed="false">
      <c r="A5" s="13" t="s">
        <v>155</v>
      </c>
      <c r="B5" s="14" t="s">
        <v>176</v>
      </c>
    </row>
    <row r="6" customFormat="false" ht="46.25" hidden="false" customHeight="false" outlineLevel="0" collapsed="false">
      <c r="A6" s="13" t="s">
        <v>177</v>
      </c>
      <c r="B6" s="14" t="s">
        <v>178</v>
      </c>
    </row>
    <row r="7" customFormat="false" ht="15" hidden="false" customHeight="false" outlineLevel="0" collapsed="false">
      <c r="A7" s="13" t="s">
        <v>179</v>
      </c>
      <c r="B7" s="14" t="s">
        <v>180</v>
      </c>
    </row>
    <row r="8" customFormat="false" ht="15" hidden="false" customHeight="false" outlineLevel="0" collapsed="false">
      <c r="A8" s="13" t="s">
        <v>181</v>
      </c>
      <c r="B8" s="14" t="s">
        <v>182</v>
      </c>
    </row>
    <row r="9" customFormat="false" ht="46.25" hidden="false" customHeight="false" outlineLevel="0" collapsed="false">
      <c r="A9" s="13" t="s">
        <v>183</v>
      </c>
      <c r="B9" s="14" t="s">
        <v>184</v>
      </c>
    </row>
    <row r="10" customFormat="false" ht="46.25" hidden="false" customHeight="false" outlineLevel="0" collapsed="false">
      <c r="A10" s="13" t="s">
        <v>185</v>
      </c>
      <c r="B10" s="14" t="s">
        <v>186</v>
      </c>
    </row>
    <row r="11" customFormat="false" ht="35.05" hidden="false" customHeight="false" outlineLevel="0" collapsed="false">
      <c r="A11" s="13" t="s">
        <v>187</v>
      </c>
      <c r="B11" s="14" t="s">
        <v>188</v>
      </c>
    </row>
    <row r="12" customFormat="false" ht="35.05" hidden="false" customHeight="false" outlineLevel="0" collapsed="false">
      <c r="A12" s="13" t="s">
        <v>189</v>
      </c>
      <c r="B12" s="14" t="s">
        <v>190</v>
      </c>
    </row>
    <row r="13" customFormat="false" ht="68.65" hidden="false" customHeight="false" outlineLevel="0" collapsed="false">
      <c r="A13" s="13" t="s">
        <v>191</v>
      </c>
      <c r="B13" s="14" t="s">
        <v>192</v>
      </c>
    </row>
    <row r="14" customFormat="false" ht="23.85" hidden="false" customHeight="false" outlineLevel="0" collapsed="false">
      <c r="A14" s="13" t="s">
        <v>193</v>
      </c>
      <c r="B14" s="14" t="s">
        <v>194</v>
      </c>
    </row>
    <row r="15" customFormat="false" ht="15" hidden="false" customHeight="false" outlineLevel="0" collapsed="false">
      <c r="A15" s="13" t="s">
        <v>8</v>
      </c>
      <c r="B15" s="14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2026-10-09T11:19:52Z</dcterms:created>
  <dc:creator>openpyxl</dc:creator>
  <dc:description/>
  <dc:language>en-US</dc:language>
  <cp:lastModifiedBy/>
  <dcterms:modified xsi:type="dcterms:W3CDTF">2026-10-09T11:19:52Z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