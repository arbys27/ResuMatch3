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Cases'!$A$1:$K$15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<sst xmlns="http://schemas.openxmlformats.org/spreadsheetml/2006/main" count="152" uniqueCount="135">
  <si>
    <t xml:space="preserve">Requirement ID</t>
  </si>
  <si>
    <t xml:space="preserve">Requirement</t>
  </si>
  <si>
    <t xml:space="preserve">Test Case</t>
  </si>
  <si>
    <t xml:space="preserve">Test Case ID</t>
  </si>
  <si>
    <t xml:space="preserve">Test Case Description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</si>
  <si>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</si>
  <si>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</si>
  <si>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</si>
  <si>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</si>
  <si>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</si>
  <si>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Code Review Note</t>
  </si>
  <si>
    <t xml:space="preserve">REQ-SRCH-01</t>
  </si>
  <si>
    <t xml:space="preserve">Recommended jobs come from semantic matching</t>
  </si>
  <si>
    <t xml:space="preserve">Recommendations for parsed profile</t>
  </si>
  <si>
    <t xml:space="preserve">TC-SRCH01</t>
  </si>
  <si>
    <t xml:space="preserve">Candidate with a parsed resume sees ranked recommended jobs.</t>
  </si>
  <si>
    <t xml:space="preserve">1. Candidate with parsed resume and at least 3 active job postings in DB
2. Open dashboard</t>
  </si>
  <si>
    <t xml:space="preserve">'Recommended' lists up to 10 jobs with similarity &gt;= 40%, ordered by match score (highest first). Each card shows title, company, location, work type, match %.</t>
  </si>
  <si>
    <t xml:space="preserve">Not Run</t>
  </si>
  <si>
    <t xml:space="preserve">RPC: get_recommended_jobs(p_candidate_id, match_threshold 0.4, match_count 10).</t>
  </si>
  <si>
    <t xml:space="preserve">REQ-SRCH-02</t>
  </si>
  <si>
    <t xml:space="preserve">No resume = sensible empty state</t>
  </si>
  <si>
    <t xml:space="preserve">Recommendations without resume</t>
  </si>
  <si>
    <t xml:space="preserve">TC-SRCH02</t>
  </si>
  <si>
    <t xml:space="preserve">New candidate with no resume embedding.</t>
  </si>
  <si>
    <t xml:space="preserve">1. Register new candidate
2. Open dashboard</t>
  </si>
  <si>
    <t xml:space="preserve">Empty state 'No listings yet - check back soon.' (no error, no fake jobs). Retest of BUG-003.</t>
  </si>
  <si>
    <t xml:space="preserve">REQ-SRCH-03</t>
  </si>
  <si>
    <t xml:space="preserve">Only active postings recommended</t>
  </si>
  <si>
    <t xml:space="preserve">Closed / deleted jobs excluded</t>
  </si>
  <si>
    <t xml:space="preserve">TC-SRCH03</t>
  </si>
  <si>
    <t xml:space="preserve">Delete a job as recruiter and refresh candidate.</t>
  </si>
  <si>
    <t xml:space="preserve">1. Recruiter deletes a job that appeared in candidate's list
2. Candidate refreshes</t>
  </si>
  <si>
    <t xml:space="preserve">Deleted job no longer appears.</t>
  </si>
  <si>
    <t xml:space="preserve">REQ-SRCH-04</t>
  </si>
  <si>
    <t xml:space="preserve">Keyword search filters by title, description, requirements</t>
  </si>
  <si>
    <t xml:space="preserve">Search by job title</t>
  </si>
  <si>
    <t xml:space="preserve">TC-SRCH04</t>
  </si>
  <si>
    <t xml:space="preserve">Type a keyword in 'Job title, skill, or company'.</t>
  </si>
  <si>
    <t xml:space="preserve">1. Type 'designer'</t>
  </si>
  <si>
    <t xml:space="preserve">List immediately narrows to jobs whose title/description/requirements/location/type contain 'designer' (case-insensitive).</t>
  </si>
  <si>
    <t xml:space="preserve">REQ-SRCH-05</t>
  </si>
  <si>
    <t xml:space="preserve">Search by company</t>
  </si>
  <si>
    <t xml:space="preserve">Search by company name</t>
  </si>
  <si>
    <t xml:space="preserve">TC-SRCH05</t>
  </si>
  <si>
    <t xml:space="preserve">Type a company name in the search field.</t>
  </si>
  <si>
    <t xml:space="preserve">1. Type the company of a listed job</t>
  </si>
  <si>
    <t xml:space="preserve">Matching job remains in list.</t>
  </si>
  <si>
    <t xml:space="preserve">LIKELY FAIL: jobText() does not include company_name, so searching by company returns nothing despite the placeholder.</t>
  </si>
  <si>
    <t xml:space="preserve">REQ-SRCH-06</t>
  </si>
  <si>
    <t xml:space="preserve">Location search</t>
  </si>
  <si>
    <t xml:space="preserve">Search by location</t>
  </si>
  <si>
    <t xml:space="preserve">TC-SRCH06</t>
  </si>
  <si>
    <t xml:space="preserve">Type a city in 'City or region'.</t>
  </si>
  <si>
    <t xml:space="preserve">1. Type 'Manila'
2. Type 'Remote'</t>
  </si>
  <si>
    <t xml:space="preserve">Only jobs whose location or work type contain the text remain.</t>
  </si>
  <si>
    <t xml:space="preserve">REQ-SRCH-07</t>
  </si>
  <si>
    <t xml:space="preserve">Combined search</t>
  </si>
  <si>
    <t xml:space="preserve">Keyword + location</t>
  </si>
  <si>
    <t xml:space="preserve">TC-SRCH07</t>
  </si>
  <si>
    <t xml:space="preserve">Use both fields together.</t>
  </si>
  <si>
    <t xml:space="preserve">1. Keyword 'developer' + Location 'Remote'</t>
  </si>
  <si>
    <t xml:space="preserve">Only jobs matching both are shown.</t>
  </si>
  <si>
    <t xml:space="preserve">REQ-SRCH-08</t>
  </si>
  <si>
    <t xml:space="preserve">No results state</t>
  </si>
  <si>
    <t xml:space="preserve">Search with no matches</t>
  </si>
  <si>
    <t xml:space="preserve">TC-SRCH08</t>
  </si>
  <si>
    <t xml:space="preserve">Search for nonsense text.</t>
  </si>
  <si>
    <t xml:space="preserve">1. Type 'zzzxxx'</t>
  </si>
  <si>
    <t xml:space="preserve">Shows empty-state message; no error.</t>
  </si>
  <si>
    <t xml:space="preserve">REQ-SRCH-09</t>
  </si>
  <si>
    <t xml:space="preserve">Search button behaviour</t>
  </si>
  <si>
    <t xml:space="preserve">Click SEARCH button</t>
  </si>
  <si>
    <t xml:space="preserve">TC-SRCH09</t>
  </si>
  <si>
    <t xml:space="preserve">Click the orange Search button.</t>
  </si>
  <si>
    <t xml:space="preserve">1. Enter keyword
2. Click SEARCH</t>
  </si>
  <si>
    <t xml:space="preserve">Results are applied (or button clearly not needed).</t>
  </si>
  <si>
    <t xml:space="preserve">Search button has no onClick; filtering is already live while typing. Button does nothing.</t>
  </si>
  <si>
    <t xml:space="preserve">REQ-SRCH-10</t>
  </si>
  <si>
    <t xml:space="preserve">Advanced filters</t>
  </si>
  <si>
    <t xml:space="preserve">Filter modal opens/closes</t>
  </si>
  <si>
    <t xml:space="preserve">TC-SRCH10</t>
  </si>
  <si>
    <t xml:space="preserve">Open filters and close.</t>
  </si>
  <si>
    <t xml:space="preserve">1. Click filter icon
2. Click X / overlay / Cancel</t>
  </si>
  <si>
    <t xml:space="preserve">Filters modal opens with Workplace model, Experience level, Category, Salary, Employment type, Date posted, Min match score, Missing skill tolerance; closes correctly.</t>
  </si>
  <si>
    <t xml:space="preserve">REQ-SRCH-11</t>
  </si>
  <si>
    <t xml:space="preserve">Advanced filters apply to the list</t>
  </si>
  <si>
    <t xml:space="preserve">Apply filters</t>
  </si>
  <si>
    <t xml:space="preserve">TC-SRCH11</t>
  </si>
  <si>
    <t xml:space="preserve">Change filters and apply.</t>
  </si>
  <si>
    <t xml:space="preserve">1. Set Workplace = Remote only, Min match score = 95
2. Click Apply</t>
  </si>
  <si>
    <t xml:space="preserve">Recommended list updates to match filters.</t>
  </si>
  <si>
    <t xml:space="preserve">LIKELY FAIL: Filter modal is UI-only. Apply just closes the modal; no values reach the dashboard.</t>
  </si>
  <si>
    <t xml:space="preserve">REQ-SRCH-12</t>
  </si>
  <si>
    <t xml:space="preserve">Job card expands</t>
  </si>
  <si>
    <t xml:space="preserve">Expand job details</t>
  </si>
  <si>
    <t xml:space="preserve">TC-SRCH12</t>
  </si>
  <si>
    <t xml:space="preserve">Click a job card.</t>
  </si>
  <si>
    <t xml:space="preserve">1. Click a job
2. Click again</t>
  </si>
  <si>
    <t xml:space="preserve">Expands to show description, matched keywords, One-click apply, Save, Open; collapses on second click.</t>
  </si>
  <si>
    <t xml:space="preserve">Matched keywords are a hard-coded list (Design systems, Figma...) - same for every job.</t>
  </si>
  <si>
    <t xml:space="preserve">REQ-SRCH-13</t>
  </si>
  <si>
    <t xml:space="preserve">Open full job posting</t>
  </si>
  <si>
    <t xml:space="preserve">Open button</t>
  </si>
  <si>
    <t xml:space="preserve">TC-SRCH13</t>
  </si>
  <si>
    <t xml:space="preserve">Click 'Open' on an expanded card.</t>
  </si>
  <si>
    <t xml:space="preserve">1. Expand job
2. Click Open</t>
  </si>
  <si>
    <t xml:space="preserve">Full job details page/modal opens.</t>
  </si>
  <si>
    <t xml:space="preserve">Open button has no handler.</t>
  </si>
  <si>
    <t xml:space="preserve">REQ-SRCH-14</t>
  </si>
  <si>
    <t xml:space="preserve">Dashboard stats reflect real data</t>
  </si>
  <si>
    <t xml:space="preserve">Stat cards</t>
  </si>
  <si>
    <t xml:space="preserve">TC-SRCH14</t>
  </si>
  <si>
    <t xml:space="preserve">Check Active applications / Interview requests / Average match score.</t>
  </si>
  <si>
    <t xml:space="preserve">1. Apply to 2 jobs
2. Reload dashboard</t>
  </si>
  <si>
    <t xml:space="preserve">Active applications = 2, average match updates.</t>
  </si>
  <si>
    <t xml:space="preserve">LIKELY FAIL: stats are hard-coded 0, 0, '-'.</t>
  </si>
  <si>
    <t xml:space="preserve">Module</t>
  </si>
  <si>
    <t xml:space="preserve">Job Recommendations, Search &amp; Filters</t>
  </si>
  <si>
    <t xml:space="preserve">Source code covered</t>
  </si>
  <si>
    <t xml:space="preserve">CandidateDashboard.jsx (loadRecommendations RPC get_recommended_jobs, filteredJobs), FIlterModal.jsx</t>
  </si>
  <si>
    <t xml:space="preserve">Environment</t>
  </si>
  <si>
    <t xml:space="preserve">resumatch-test-production.up.railway.app</t>
  </si>
  <si>
    <t xml:space="preserve">Prepared</t>
  </si>
  <si>
    <t xml:space="preserve">Generated from code review of the Resumatch repo (commit 067ff01, Oct 6 2026)</t>
  </si>
  <si>
    <t xml:space="preserve">Count</t>
  </si>
  <si>
    <t xml:space="preserve">Pass</t>
  </si>
  <si>
    <t xml:space="preserve">Fail</t>
  </si>
  <si>
    <t xml:space="preserve">Blocked</t>
  </si>
  <si>
    <t xml:space="preserve">Total</t>
  </si>
  <si>
    <t xml:space="preserve">Code review flags</t>
  </si>
  <si>
    <t xml:space="preserve">Note</t>
  </si>
  <si>
    <t xml:space="preserve">How to use: run each case, then fill Actual Result, set Status from the drop-down (Not Run / Pass / Fail / Blocked) and attach Evidence (screenshot link). Counts above update automatically.</t>
  </si>
  <si>
    <t xml:space="preserve">Requirement IDs (REQ-xxx) are placeholders taken from the code. Replace them with your BRD FR numbers.</t>
  </si>
  <si>
    <t xml:space="preserve">Code Review Note (yellow) is what the source code suggests will happen. 'LIKELY FAIL' means the code does not do what the expected result requires. It is a prediction, not an executed result: confirm it on the deployed site before logging a bug.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</si>
</sst>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FF6600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7" min="7" style="0" width="44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4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46.25" hidden="false" customHeight="false" outlineLevel="0" collapsed="false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/>
      <c r="I2" s="3" t="s">
        <v>18</v>
      </c>
      <c r="J2" s="3"/>
      <c r="K2" s="5" t="s">
        <v>19</v>
      </c>
    </row>
    <row r="3" customFormat="false" ht="23.85" hidden="false" customHeight="false" outlineLevel="0" collapsed="false">
      <c r="A3" s="3" t="s">
        <v>20</v>
      </c>
      <c r="B3" s="3" t="s">
        <v>21</v>
      </c>
      <c r="C3" s="3" t="s">
        <v>22</v>
      </c>
      <c r="D3" s="4" t="s">
        <v>23</v>
      </c>
      <c r="E3" s="3" t="s">
        <v>24</v>
      </c>
      <c r="F3" s="3" t="s">
        <v>25</v>
      </c>
      <c r="G3" s="3" t="s">
        <v>26</v>
      </c>
      <c r="H3" s="3"/>
      <c r="I3" s="3" t="s">
        <v>18</v>
      </c>
      <c r="J3" s="3"/>
      <c r="K3" s="6"/>
    </row>
    <row r="4" customFormat="false" ht="35.05" hidden="false" customHeight="false" outlineLevel="0" collapsed="false">
      <c r="A4" s="3" t="s">
        <v>27</v>
      </c>
      <c r="B4" s="3" t="s">
        <v>28</v>
      </c>
      <c r="C4" s="3" t="s">
        <v>29</v>
      </c>
      <c r="D4" s="4" t="s">
        <v>30</v>
      </c>
      <c r="E4" s="3" t="s">
        <v>31</v>
      </c>
      <c r="F4" s="3" t="s">
        <v>32</v>
      </c>
      <c r="G4" s="3" t="s">
        <v>33</v>
      </c>
      <c r="H4" s="3"/>
      <c r="I4" s="3" t="s">
        <v>18</v>
      </c>
      <c r="J4" s="3"/>
      <c r="K4" s="6"/>
    </row>
    <row r="5" customFormat="false" ht="35.05" hidden="false" customHeight="false" outlineLevel="0" collapsed="false">
      <c r="A5" s="3" t="s">
        <v>34</v>
      </c>
      <c r="B5" s="3" t="s">
        <v>35</v>
      </c>
      <c r="C5" s="3" t="s">
        <v>36</v>
      </c>
      <c r="D5" s="4" t="s">
        <v>37</v>
      </c>
      <c r="E5" s="3" t="s">
        <v>38</v>
      </c>
      <c r="F5" s="3" t="s">
        <v>39</v>
      </c>
      <c r="G5" s="3" t="s">
        <v>40</v>
      </c>
      <c r="H5" s="3"/>
      <c r="I5" s="3" t="s">
        <v>18</v>
      </c>
      <c r="J5" s="3"/>
      <c r="K5" s="6"/>
    </row>
    <row r="6" customFormat="false" ht="35.05" hidden="false" customHeight="false" outlineLevel="0" collapsed="false">
      <c r="A6" s="3" t="s">
        <v>41</v>
      </c>
      <c r="B6" s="3" t="s">
        <v>42</v>
      </c>
      <c r="C6" s="3" t="s">
        <v>43</v>
      </c>
      <c r="D6" s="4" t="s">
        <v>44</v>
      </c>
      <c r="E6" s="3" t="s">
        <v>45</v>
      </c>
      <c r="F6" s="3" t="s">
        <v>46</v>
      </c>
      <c r="G6" s="3" t="s">
        <v>47</v>
      </c>
      <c r="H6" s="3"/>
      <c r="I6" s="3" t="s">
        <v>18</v>
      </c>
      <c r="J6" s="3"/>
      <c r="K6" s="5" t="s">
        <v>48</v>
      </c>
    </row>
    <row r="7" customFormat="false" ht="23.85" hidden="false" customHeight="false" outlineLevel="0" collapsed="false">
      <c r="A7" s="3" t="s">
        <v>49</v>
      </c>
      <c r="B7" s="3" t="s">
        <v>50</v>
      </c>
      <c r="C7" s="3" t="s">
        <v>51</v>
      </c>
      <c r="D7" s="4" t="s">
        <v>52</v>
      </c>
      <c r="E7" s="3" t="s">
        <v>53</v>
      </c>
      <c r="F7" s="3" t="s">
        <v>54</v>
      </c>
      <c r="G7" s="3" t="s">
        <v>55</v>
      </c>
      <c r="H7" s="3"/>
      <c r="I7" s="3" t="s">
        <v>18</v>
      </c>
      <c r="J7" s="3"/>
      <c r="K7" s="6"/>
    </row>
    <row r="8" customFormat="false" ht="15" hidden="false" customHeight="false" outlineLevel="0" collapsed="false">
      <c r="A8" s="3" t="s">
        <v>56</v>
      </c>
      <c r="B8" s="3" t="s">
        <v>57</v>
      </c>
      <c r="C8" s="3" t="s">
        <v>58</v>
      </c>
      <c r="D8" s="4" t="s">
        <v>59</v>
      </c>
      <c r="E8" s="3" t="s">
        <v>60</v>
      </c>
      <c r="F8" s="3" t="s">
        <v>61</v>
      </c>
      <c r="G8" s="3" t="s">
        <v>62</v>
      </c>
      <c r="H8" s="3"/>
      <c r="I8" s="3" t="s">
        <v>18</v>
      </c>
      <c r="J8" s="3"/>
      <c r="K8" s="6"/>
    </row>
    <row r="9" customFormat="false" ht="15" hidden="false" customHeight="false" outlineLevel="0" collapsed="false">
      <c r="A9" s="3" t="s">
        <v>63</v>
      </c>
      <c r="B9" s="3" t="s">
        <v>64</v>
      </c>
      <c r="C9" s="3" t="s">
        <v>65</v>
      </c>
      <c r="D9" s="4" t="s">
        <v>66</v>
      </c>
      <c r="E9" s="3" t="s">
        <v>67</v>
      </c>
      <c r="F9" s="3" t="s">
        <v>68</v>
      </c>
      <c r="G9" s="3" t="s">
        <v>69</v>
      </c>
      <c r="H9" s="3"/>
      <c r="I9" s="3" t="s">
        <v>18</v>
      </c>
      <c r="J9" s="3"/>
      <c r="K9" s="6"/>
    </row>
    <row r="10" customFormat="false" ht="23.85" hidden="false" customHeight="false" outlineLevel="0" collapsed="false">
      <c r="A10" s="3" t="s">
        <v>70</v>
      </c>
      <c r="B10" s="3" t="s">
        <v>71</v>
      </c>
      <c r="C10" s="3" t="s">
        <v>72</v>
      </c>
      <c r="D10" s="4" t="s">
        <v>73</v>
      </c>
      <c r="E10" s="3" t="s">
        <v>74</v>
      </c>
      <c r="F10" s="3" t="s">
        <v>75</v>
      </c>
      <c r="G10" s="3" t="s">
        <v>76</v>
      </c>
      <c r="H10" s="3"/>
      <c r="I10" s="3" t="s">
        <v>18</v>
      </c>
      <c r="J10" s="3"/>
      <c r="K10" s="5" t="s">
        <v>77</v>
      </c>
    </row>
    <row r="11" customFormat="false" ht="46.25" hidden="false" customHeight="false" outlineLevel="0" collapsed="false">
      <c r="A11" s="3" t="s">
        <v>78</v>
      </c>
      <c r="B11" s="3" t="s">
        <v>79</v>
      </c>
      <c r="C11" s="3" t="s">
        <v>80</v>
      </c>
      <c r="D11" s="4" t="s">
        <v>81</v>
      </c>
      <c r="E11" s="3" t="s">
        <v>82</v>
      </c>
      <c r="F11" s="3" t="s">
        <v>83</v>
      </c>
      <c r="G11" s="3" t="s">
        <v>84</v>
      </c>
      <c r="H11" s="3"/>
      <c r="I11" s="3" t="s">
        <v>18</v>
      </c>
      <c r="J11" s="3"/>
      <c r="K11" s="6"/>
    </row>
    <row r="12" customFormat="false" ht="23.85" hidden="false" customHeight="false" outlineLevel="0" collapsed="false">
      <c r="A12" s="3" t="s">
        <v>85</v>
      </c>
      <c r="B12" s="3" t="s">
        <v>86</v>
      </c>
      <c r="C12" s="3" t="s">
        <v>87</v>
      </c>
      <c r="D12" s="4" t="s">
        <v>88</v>
      </c>
      <c r="E12" s="3" t="s">
        <v>89</v>
      </c>
      <c r="F12" s="3" t="s">
        <v>90</v>
      </c>
      <c r="G12" s="3" t="s">
        <v>91</v>
      </c>
      <c r="H12" s="3"/>
      <c r="I12" s="3" t="s">
        <v>18</v>
      </c>
      <c r="J12" s="3"/>
      <c r="K12" s="5" t="s">
        <v>92</v>
      </c>
    </row>
    <row r="13" customFormat="false" ht="35.05" hidden="false" customHeight="false" outlineLevel="0" collapsed="false">
      <c r="A13" s="3" t="s">
        <v>93</v>
      </c>
      <c r="B13" s="3" t="s">
        <v>94</v>
      </c>
      <c r="C13" s="3" t="s">
        <v>95</v>
      </c>
      <c r="D13" s="4" t="s">
        <v>96</v>
      </c>
      <c r="E13" s="3" t="s">
        <v>97</v>
      </c>
      <c r="F13" s="3" t="s">
        <v>98</v>
      </c>
      <c r="G13" s="3" t="s">
        <v>99</v>
      </c>
      <c r="H13" s="3"/>
      <c r="I13" s="3" t="s">
        <v>18</v>
      </c>
      <c r="J13" s="3"/>
      <c r="K13" s="5" t="s">
        <v>100</v>
      </c>
    </row>
    <row r="14" customFormat="false" ht="23.85" hidden="false" customHeight="false" outlineLevel="0" collapsed="false">
      <c r="A14" s="3" t="s">
        <v>101</v>
      </c>
      <c r="B14" s="3" t="s">
        <v>102</v>
      </c>
      <c r="C14" s="3" t="s">
        <v>103</v>
      </c>
      <c r="D14" s="4" t="s">
        <v>104</v>
      </c>
      <c r="E14" s="3" t="s">
        <v>105</v>
      </c>
      <c r="F14" s="3" t="s">
        <v>106</v>
      </c>
      <c r="G14" s="3" t="s">
        <v>107</v>
      </c>
      <c r="H14" s="3"/>
      <c r="I14" s="3" t="s">
        <v>18</v>
      </c>
      <c r="J14" s="3"/>
      <c r="K14" s="5" t="s">
        <v>108</v>
      </c>
    </row>
    <row r="15" customFormat="false" ht="23.85" hidden="false" customHeight="false" outlineLevel="0" collapsed="false">
      <c r="A15" s="3" t="s">
        <v>109</v>
      </c>
      <c r="B15" s="3" t="s">
        <v>110</v>
      </c>
      <c r="C15" s="3" t="s">
        <v>111</v>
      </c>
      <c r="D15" s="4" t="s">
        <v>112</v>
      </c>
      <c r="E15" s="3" t="s">
        <v>113</v>
      </c>
      <c r="F15" s="3" t="s">
        <v>114</v>
      </c>
      <c r="G15" s="3" t="s">
        <v>115</v>
      </c>
      <c r="H15" s="3"/>
      <c r="I15" s="3" t="s">
        <v>18</v>
      </c>
      <c r="J15" s="3"/>
      <c r="K15" s="5" t="s">
        <v>116</v>
      </c>
    </row>
  </sheetData>
  <autoFilter ref="A1:K15"/>
  <conditionalFormatting sqref="I2:I15">
    <cfRule type="expression" priority="2" aboveAverage="0" equalAverage="0" bottom="0" percent="0" rank="0" text="" dxfId="7">
      <formula>$I2="Pass"</formula>
    </cfRule>
    <cfRule type="expression" priority="3" aboveAverage="0" equalAverage="0" bottom="0" percent="0" rank="0" text="" dxfId="8">
      <formula>$I2="Fail"</formula>
    </cfRule>
    <cfRule type="expression" priority="4" aboveAverage="0" equalAverage="0" bottom="0" percent="0" rank="0" text="" dxfId="9">
      <formula>$I2="Blocked"</formula>
    </cfRule>
  </conditionalFormatting>
  <dataValidations count="1">
    <dataValidation allowBlank="true" errorStyle="stop" operator="between" showDropDown="false" showErrorMessage="false" showInputMessage="false" sqref="I2:I15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117</v>
      </c>
      <c r="B1" s="8" t="s">
        <v>118</v>
      </c>
    </row>
    <row r="2" customFormat="false" ht="26.85" hidden="false" customHeight="false" outlineLevel="0" collapsed="false">
      <c r="A2" s="7" t="s">
        <v>119</v>
      </c>
      <c r="B2" s="8" t="s">
        <v>120</v>
      </c>
    </row>
    <row r="3" customFormat="false" ht="15" hidden="false" customHeight="false" outlineLevel="0" collapsed="false">
      <c r="A3" s="7" t="s">
        <v>121</v>
      </c>
      <c r="B3" s="8" t="s">
        <v>122</v>
      </c>
    </row>
    <row r="4" customFormat="false" ht="26.85" hidden="false" customHeight="false" outlineLevel="0" collapsed="false">
      <c r="A4" s="7" t="s">
        <v>123</v>
      </c>
      <c r="B4" s="8" t="s">
        <v>124</v>
      </c>
    </row>
    <row r="6" customFormat="false" ht="15" hidden="false" customHeight="false" outlineLevel="0" collapsed="false">
      <c r="A6" s="9" t="s">
        <v>8</v>
      </c>
      <c r="B6" s="9" t="s">
        <v>125</v>
      </c>
    </row>
    <row r="7" customFormat="false" ht="15" hidden="false" customHeight="false" outlineLevel="0" collapsed="false">
      <c r="A7" s="10" t="s">
        <v>126</v>
      </c>
      <c r="B7" s="10" t="n">
        <f aca="false">COUNTIF('Test Cases'!$I$2:$I$15,A7)</f>
        <v>0</v>
      </c>
    </row>
    <row r="8" customFormat="false" ht="15" hidden="false" customHeight="false" outlineLevel="0" collapsed="false">
      <c r="A8" s="10" t="s">
        <v>127</v>
      </c>
      <c r="B8" s="10" t="n">
        <f aca="false">COUNTIF('Test Cases'!$I$2:$I$15,A8)</f>
        <v>0</v>
      </c>
    </row>
    <row r="9" customFormat="false" ht="15" hidden="false" customHeight="false" outlineLevel="0" collapsed="false">
      <c r="A9" s="10" t="s">
        <v>128</v>
      </c>
      <c r="B9" s="10" t="n">
        <f aca="false">COUNTIF('Test Cases'!$I$2:$I$15,A9)</f>
        <v>0</v>
      </c>
    </row>
    <row r="10" customFormat="false" ht="15" hidden="false" customHeight="false" outlineLevel="0" collapsed="false">
      <c r="A10" s="10" t="s">
        <v>18</v>
      </c>
      <c r="B10" s="10" t="n">
        <f aca="false">COUNTIF('Test Cases'!$I$2:$I$15,A10)</f>
        <v>14</v>
      </c>
    </row>
    <row r="11" customFormat="false" ht="15" hidden="false" customHeight="false" outlineLevel="0" collapsed="false">
      <c r="A11" s="7" t="s">
        <v>129</v>
      </c>
      <c r="B11" s="7" t="n">
        <f aca="false">SUM(B7:B10)</f>
        <v>14</v>
      </c>
    </row>
    <row r="12" customFormat="false" ht="15" hidden="false" customHeight="false" outlineLevel="0" collapsed="false">
      <c r="A12" s="10" t="s">
        <v>130</v>
      </c>
      <c r="B12" s="10" t="n">
        <f aca="false">COUNTIF('Test Cases'!$K$2:$K$15,"LIKELY FAIL*")</f>
        <v>3</v>
      </c>
    </row>
    <row r="14" customFormat="false" ht="42" hidden="false" customHeight="true" outlineLevel="0" collapsed="false">
      <c r="A14" s="11" t="s">
        <v>131</v>
      </c>
      <c r="B14" s="12" t="s">
        <v>132</v>
      </c>
    </row>
    <row r="15" customFormat="false" ht="42" hidden="false" customHeight="true" outlineLevel="0" collapsed="false">
      <c r="A15" s="11" t="s">
        <v>131</v>
      </c>
      <c r="B15" s="12" t="s">
        <v>133</v>
      </c>
    </row>
    <row r="16" customFormat="false" ht="42" hidden="false" customHeight="true" outlineLevel="0" collapsed="false">
      <c r="A16" s="11" t="s">
        <v>131</v>
      </c>
      <c r="B16" s="1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2026-10-09T11:19:52Z</dcterms:created>
  <dc:creator>openpyxl</dc:creator>
  <dc:description/>
  <dc:language>en-US</dc:language>
  <cp:lastModifiedBy/>
  <dcterms:modified xsi:type="dcterms:W3CDTF">2026-10-09T11:19:52Z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