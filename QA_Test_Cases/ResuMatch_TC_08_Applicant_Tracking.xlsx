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Summary" sheetId="2" state="visible" r:id="rId4"/>
  </sheets>
  <definedNames>
    <definedName function="false" hidden="true" localSheetId="0" name="_xlnm._FilterDatabase" vbProcedure="false">'Test Cases'!$A$1:$K$12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<sst xmlns="http://schemas.openxmlformats.org/spreadsheetml/2006/main" count="126" uniqueCount="112">
  <si>
    <t xml:space="preserve">Requirement ID</t>
  </si>
  <si>
    <t xml:space="preserve">Requirement</t>
  </si>
  <si>
    <t xml:space="preserve">Test Case</t>
  </si>
  <si>
    <t xml:space="preserve">Test Case ID</t>
  </si>
  <si>
    <t xml:space="preserve">Test Case Description</t>
  </si>
  <si>
    <t xml:space="preserve">Test Steps</t>
  </si>
  <si>
    <t xml:space="preserve">Expected Result</t>
  </si>
  <si>
    <t xml:space="preserve">Actual Result</t>
  </si>
  <si>
    <t xml:space="preserve">Status</t>
  </si>
  <si>
    <t xml:space="preserve">Evidence</t>
  </si>
  <si>
    <t xml:space="preserve">Code Review Note</t>
  </si>
  <si>
    <t xml:space="preserve">REQ-TRK-01</t>
  </si>
  <si>
    <t xml:space="preserve">Recruiter sees applicants to own jobs</t>
  </si>
  <si>
    <t xml:space="preserve">Applicant list</t>
  </si>
  <si>
    <t xml:space="preserve">TC-TRK01</t>
  </si>
  <si>
    <t xml:space="preserve">View applicants table.</t>
  </si>
  <si>
    <t xml:space="preserve">1. Candidate applies to recruiter's job
2. Recruiter &gt; Applicant Tracking</t>
  </si>
  <si>
    <t xml:space="preserve">Table shows Candidate (initials, name, role), Match score bar + %, Applied date, Stage badge.</t>
  </si>
  <si>
    <t xml:space="preserve">Not Run</t>
  </si>
  <si>
    <t xml:space="preserve">REQ-TRK-02</t>
  </si>
  <si>
    <t xml:space="preserve">Applicants auto-ranked by match</t>
  </si>
  <si>
    <t xml:space="preserve">Sort by match score</t>
  </si>
  <si>
    <t xml:space="preserve">TC-TRK02</t>
  </si>
  <si>
    <t xml:space="preserve">Check order with several applicants.</t>
  </si>
  <si>
    <t xml:space="preserve">1. 3 applicants with different scores
2. Open Applicant Tracking</t>
  </si>
  <si>
    <t xml:space="preserve">Sorted highest to lowest match score.</t>
  </si>
  <si>
    <t xml:space="preserve">REQ-TRK-03</t>
  </si>
  <si>
    <t xml:space="preserve">Empty state</t>
  </si>
  <si>
    <t xml:space="preserve">No applicants</t>
  </si>
  <si>
    <t xml:space="preserve">TC-TRK03</t>
  </si>
  <si>
    <t xml:space="preserve">New recruiter with no applications.</t>
  </si>
  <si>
    <t xml:space="preserve">1. Open Applicant Tracking</t>
  </si>
  <si>
    <t xml:space="preserve">'No applications found.'</t>
  </si>
  <si>
    <t xml:space="preserve">REQ-TRK-04</t>
  </si>
  <si>
    <t xml:space="preserve">Isolation between recruiters</t>
  </si>
  <si>
    <t xml:space="preserve">Other recruiter's applicants hidden</t>
  </si>
  <si>
    <t xml:space="preserve">TC-TRK04</t>
  </si>
  <si>
    <t xml:space="preserve">Recruiter B must not see applicants to Recruiter A's jobs.</t>
  </si>
  <si>
    <t xml:space="preserve">1. Candidate applies to A's job
2. Log in as B &gt; Applicant Tracking</t>
  </si>
  <si>
    <t xml:space="preserve">B sees none of A's applicants.</t>
  </si>
  <si>
    <t xml:space="preserve">Filter is done in the client query (job_postings.recruiter_id). Confirm RLS on applications also enforces this.</t>
  </si>
  <si>
    <t xml:space="preserve">REQ-TRK-05</t>
  </si>
  <si>
    <t xml:space="preserve">Recruiter can preview candidate profile</t>
  </si>
  <si>
    <t xml:space="preserve">Preview candidate</t>
  </si>
  <si>
    <t xml:space="preserve">TC-TRK05</t>
  </si>
  <si>
    <t xml:space="preserve">Click the eye icon.</t>
  </si>
  <si>
    <t xml:space="preserve">1. Click eye icon on an applicant</t>
  </si>
  <si>
    <t xml:space="preserve">Profile modal opens read-only with candidate's resume, experience, education, skills, links.</t>
  </si>
  <si>
    <t xml:space="preserve">REQ-TRK-06</t>
  </si>
  <si>
    <t xml:space="preserve">Preview is read-only</t>
  </si>
  <si>
    <t xml:space="preserve">No edit in recruiter preview</t>
  </si>
  <si>
    <t xml:space="preserve">TC-TRK06</t>
  </si>
  <si>
    <t xml:space="preserve">Try to edit/upload from preview.</t>
  </si>
  <si>
    <t xml:space="preserve">1. Open preview
2. Look for Upload / Edit controls</t>
  </si>
  <si>
    <t xml:space="preserve">No upload or edit controls; data cannot be changed.</t>
  </si>
  <si>
    <t xml:space="preserve">REQ-TRK-07</t>
  </si>
  <si>
    <t xml:space="preserve">Recruiter can open candidate resume file</t>
  </si>
  <si>
    <t xml:space="preserve">View resume file</t>
  </si>
  <si>
    <t xml:space="preserve">TC-TRK07</t>
  </si>
  <si>
    <t xml:space="preserve">Open the resume link in preview.</t>
  </si>
  <si>
    <t xml:space="preserve">1. In preview click the resume file</t>
  </si>
  <si>
    <t xml:space="preserve">Resume PDF opens.</t>
  </si>
  <si>
    <t xml:space="preserve">Resume URL is a public bucket URL - anyone with the link can download any resume (privacy risk). Recommend signed URLs.</t>
  </si>
  <si>
    <t xml:space="preserve">REQ-TRK-08</t>
  </si>
  <si>
    <t xml:space="preserve">Unknown names handled</t>
  </si>
  <si>
    <t xml:space="preserve">Applicant with no profile name</t>
  </si>
  <si>
    <t xml:space="preserve">TC-TRK08</t>
  </si>
  <si>
    <t xml:space="preserve">Candidate without first/last name applies.</t>
  </si>
  <si>
    <t xml:space="preserve">1. Candidate with empty profile applies
2. Recruiter views list</t>
  </si>
  <si>
    <t xml:space="preserve">Shows 'Unknown' and fallback initials 'C' without errors.</t>
  </si>
  <si>
    <t xml:space="preserve">REQ-TRK-09</t>
  </si>
  <si>
    <t xml:space="preserve">Dashboard stats match tracking data</t>
  </si>
  <si>
    <t xml:space="preserve">Home stats</t>
  </si>
  <si>
    <t xml:space="preserve">TC-TRK09</t>
  </si>
  <si>
    <t xml:space="preserve">Compare Home stat cards with tracking list.</t>
  </si>
  <si>
    <t xml:space="preserve">1. Note Total applicants / Awaiting review on Home
2. Count rows in Applicant Tracking</t>
  </si>
  <si>
    <t xml:space="preserve">Numbers match (Awaiting review = stage Applied/Pending).</t>
  </si>
  <si>
    <t xml:space="preserve">'Active listings' counts all jobs, not only status = active.</t>
  </si>
  <si>
    <t xml:space="preserve">REQ-TRK-10</t>
  </si>
  <si>
    <t xml:space="preserve">Recent activity</t>
  </si>
  <si>
    <t xml:space="preserve">Recent activity feed</t>
  </si>
  <si>
    <t xml:space="preserve">TC-TRK10</t>
  </si>
  <si>
    <t xml:space="preserve">Check Recent activity on Home.</t>
  </si>
  <si>
    <t xml:space="preserve">1. Candidate applies
2. Recruiter reloads Home</t>
  </si>
  <si>
    <t xml:space="preserve">'&lt;FirstName&gt; applied for &lt;Role&gt;' with date appears (latest 4).</t>
  </si>
  <si>
    <t xml:space="preserve">Activity is sorted by match score (query order), not by date, so 'recent' may not be the newest.</t>
  </si>
  <si>
    <t xml:space="preserve">REQ-TRK-11</t>
  </si>
  <si>
    <t xml:space="preserve">Change applicant stage</t>
  </si>
  <si>
    <t xml:space="preserve">Move applicant between stages</t>
  </si>
  <si>
    <t xml:space="preserve">TC-TRK11</t>
  </si>
  <si>
    <t xml:space="preserve">Try to change stage (Applied &gt; Interview).</t>
  </si>
  <si>
    <t xml:space="preserve">1. Look for stage controls</t>
  </si>
  <si>
    <t xml:space="preserve">Recruiter can update stage (per BRD).</t>
  </si>
  <si>
    <t xml:space="preserve">Not implemented: stage badge is display-only. Pipeline and Messages views are placeholders ('ready for Supabase data wiring') - mark those cases Blocked.</t>
  </si>
  <si>
    <t xml:space="preserve">Module</t>
  </si>
  <si>
    <t xml:space="preserve">Applicant Tracking &amp; Candidate Preview</t>
  </si>
  <si>
    <t xml:space="preserve">Source code covered</t>
  </si>
  <si>
    <t xml:space="preserve">RecruiterDashboard.jsx Tracking, loadDashboardData applications query, ProfileModal isRecruiterView</t>
  </si>
  <si>
    <t xml:space="preserve">Environment</t>
  </si>
  <si>
    <t xml:space="preserve">resumatch-test-production.up.railway.app</t>
  </si>
  <si>
    <t xml:space="preserve">Prepared</t>
  </si>
  <si>
    <t xml:space="preserve">Generated from code review of the Resumatch repo (commit 067ff01, Oct 6 2026)</t>
  </si>
  <si>
    <t xml:space="preserve">Count</t>
  </si>
  <si>
    <t xml:space="preserve">Pass</t>
  </si>
  <si>
    <t xml:space="preserve">Fail</t>
  </si>
  <si>
    <t xml:space="preserve">Blocked</t>
  </si>
  <si>
    <t xml:space="preserve">Total</t>
  </si>
  <si>
    <t xml:space="preserve">Code review flags</t>
  </si>
  <si>
    <t xml:space="preserve">Note</t>
  </si>
  <si>
    <t xml:space="preserve">How to use: run each case, then fill Actual Result, set Status from the drop-down (Not Run / Pass / Fail / Blocked) and attach Evidence (screenshot link). Counts above update automatically.</t>
  </si>
  <si>
    <t xml:space="preserve">Requirement IDs (REQ-xxx) are placeholders taken from the code. Replace them with your BRD FR numbers.</t>
  </si>
  <si>
    <t xml:space="preserve">Code Review Note (yellow) is what the source code suggests will happen. 'LIKELY FAIL' means the code does not do what the expected result requires. It is a prediction, not an executed result: confirm it on the deployed site before logging a bug.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</si>
</sst>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7F600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F8F00"/>
        <bgColor rgb="FFFF6600"/>
      </patternFill>
    </fill>
    <fill>
      <patternFill patternType="solid">
        <fgColor rgb="FFFFF2CC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13"/>
    <col collapsed="false" customWidth="true" hidden="false" outlineLevel="0" max="5" min="5" style="0" width="34"/>
    <col collapsed="false" customWidth="true" hidden="false" outlineLevel="0" max="6" min="6" style="0" width="46"/>
    <col collapsed="false" customWidth="true" hidden="false" outlineLevel="0" max="7" min="7" style="0" width="44"/>
    <col collapsed="false" customWidth="true" hidden="false" outlineLevel="0" max="8" min="8" style="0" width="30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false" outlineLevel="0" max="11" min="11" style="0" width="46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customFormat="false" ht="23.85" hidden="false" customHeight="false" outlineLevel="0" collapsed="false">
      <c r="A2" s="3" t="s">
        <v>11</v>
      </c>
      <c r="B2" s="3" t="s">
        <v>12</v>
      </c>
      <c r="C2" s="3" t="s">
        <v>13</v>
      </c>
      <c r="D2" s="4" t="s">
        <v>14</v>
      </c>
      <c r="E2" s="3" t="s">
        <v>15</v>
      </c>
      <c r="F2" s="3" t="s">
        <v>16</v>
      </c>
      <c r="G2" s="3" t="s">
        <v>17</v>
      </c>
      <c r="H2" s="3"/>
      <c r="I2" s="3" t="s">
        <v>18</v>
      </c>
      <c r="J2" s="3"/>
      <c r="K2" s="5"/>
    </row>
    <row r="3" customFormat="false" ht="23.85" hidden="false" customHeight="false" outlineLevel="0" collapsed="false">
      <c r="A3" s="3" t="s">
        <v>19</v>
      </c>
      <c r="B3" s="3" t="s">
        <v>20</v>
      </c>
      <c r="C3" s="3" t="s">
        <v>21</v>
      </c>
      <c r="D3" s="4" t="s">
        <v>22</v>
      </c>
      <c r="E3" s="3" t="s">
        <v>23</v>
      </c>
      <c r="F3" s="3" t="s">
        <v>24</v>
      </c>
      <c r="G3" s="3" t="s">
        <v>25</v>
      </c>
      <c r="H3" s="3"/>
      <c r="I3" s="3" t="s">
        <v>18</v>
      </c>
      <c r="J3" s="3"/>
      <c r="K3" s="5"/>
    </row>
    <row r="4" customFormat="false" ht="15" hidden="false" customHeight="false" outlineLevel="0" collapsed="false">
      <c r="A4" s="3" t="s">
        <v>26</v>
      </c>
      <c r="B4" s="3" t="s">
        <v>27</v>
      </c>
      <c r="C4" s="3" t="s">
        <v>28</v>
      </c>
      <c r="D4" s="4" t="s">
        <v>29</v>
      </c>
      <c r="E4" s="3" t="s">
        <v>30</v>
      </c>
      <c r="F4" s="3" t="s">
        <v>31</v>
      </c>
      <c r="G4" s="3" t="s">
        <v>32</v>
      </c>
      <c r="H4" s="3"/>
      <c r="I4" s="3" t="s">
        <v>18</v>
      </c>
      <c r="J4" s="3"/>
      <c r="K4" s="5"/>
    </row>
    <row r="5" customFormat="false" ht="35.05" hidden="false" customHeight="false" outlineLevel="0" collapsed="false">
      <c r="A5" s="3" t="s">
        <v>33</v>
      </c>
      <c r="B5" s="3" t="s">
        <v>34</v>
      </c>
      <c r="C5" s="3" t="s">
        <v>35</v>
      </c>
      <c r="D5" s="4" t="s">
        <v>36</v>
      </c>
      <c r="E5" s="3" t="s">
        <v>37</v>
      </c>
      <c r="F5" s="3" t="s">
        <v>38</v>
      </c>
      <c r="G5" s="3" t="s">
        <v>39</v>
      </c>
      <c r="H5" s="3"/>
      <c r="I5" s="3" t="s">
        <v>18</v>
      </c>
      <c r="J5" s="3"/>
      <c r="K5" s="6" t="s">
        <v>40</v>
      </c>
    </row>
    <row r="6" customFormat="false" ht="23.85" hidden="false" customHeight="false" outlineLevel="0" collapsed="false">
      <c r="A6" s="3" t="s">
        <v>41</v>
      </c>
      <c r="B6" s="3" t="s">
        <v>42</v>
      </c>
      <c r="C6" s="3" t="s">
        <v>43</v>
      </c>
      <c r="D6" s="4" t="s">
        <v>44</v>
      </c>
      <c r="E6" s="3" t="s">
        <v>45</v>
      </c>
      <c r="F6" s="3" t="s">
        <v>46</v>
      </c>
      <c r="G6" s="3" t="s">
        <v>47</v>
      </c>
      <c r="H6" s="3"/>
      <c r="I6" s="3" t="s">
        <v>18</v>
      </c>
      <c r="J6" s="3"/>
      <c r="K6" s="5"/>
    </row>
    <row r="7" customFormat="false" ht="23.85" hidden="false" customHeight="false" outlineLevel="0" collapsed="false">
      <c r="A7" s="3" t="s">
        <v>48</v>
      </c>
      <c r="B7" s="3" t="s">
        <v>49</v>
      </c>
      <c r="C7" s="3" t="s">
        <v>50</v>
      </c>
      <c r="D7" s="4" t="s">
        <v>51</v>
      </c>
      <c r="E7" s="3" t="s">
        <v>52</v>
      </c>
      <c r="F7" s="3" t="s">
        <v>53</v>
      </c>
      <c r="G7" s="3" t="s">
        <v>54</v>
      </c>
      <c r="H7" s="3"/>
      <c r="I7" s="3" t="s">
        <v>18</v>
      </c>
      <c r="J7" s="3"/>
      <c r="K7" s="5"/>
    </row>
    <row r="8" customFormat="false" ht="35.05" hidden="false" customHeight="false" outlineLevel="0" collapsed="false">
      <c r="A8" s="3" t="s">
        <v>55</v>
      </c>
      <c r="B8" s="3" t="s">
        <v>56</v>
      </c>
      <c r="C8" s="3" t="s">
        <v>57</v>
      </c>
      <c r="D8" s="4" t="s">
        <v>58</v>
      </c>
      <c r="E8" s="3" t="s">
        <v>59</v>
      </c>
      <c r="F8" s="3" t="s">
        <v>60</v>
      </c>
      <c r="G8" s="3" t="s">
        <v>61</v>
      </c>
      <c r="H8" s="3"/>
      <c r="I8" s="3" t="s">
        <v>18</v>
      </c>
      <c r="J8" s="3"/>
      <c r="K8" s="6" t="s">
        <v>62</v>
      </c>
    </row>
    <row r="9" customFormat="false" ht="23.85" hidden="false" customHeight="false" outlineLevel="0" collapsed="false">
      <c r="A9" s="3" t="s">
        <v>63</v>
      </c>
      <c r="B9" s="3" t="s">
        <v>64</v>
      </c>
      <c r="C9" s="3" t="s">
        <v>65</v>
      </c>
      <c r="D9" s="4" t="s">
        <v>66</v>
      </c>
      <c r="E9" s="3" t="s">
        <v>67</v>
      </c>
      <c r="F9" s="3" t="s">
        <v>68</v>
      </c>
      <c r="G9" s="3" t="s">
        <v>69</v>
      </c>
      <c r="H9" s="3"/>
      <c r="I9" s="3" t="s">
        <v>18</v>
      </c>
      <c r="J9" s="3"/>
      <c r="K9" s="5"/>
    </row>
    <row r="10" customFormat="false" ht="23.85" hidden="false" customHeight="false" outlineLevel="0" collapsed="false">
      <c r="A10" s="3" t="s">
        <v>70</v>
      </c>
      <c r="B10" s="3" t="s">
        <v>71</v>
      </c>
      <c r="C10" s="3" t="s">
        <v>72</v>
      </c>
      <c r="D10" s="4" t="s">
        <v>73</v>
      </c>
      <c r="E10" s="3" t="s">
        <v>74</v>
      </c>
      <c r="F10" s="3" t="s">
        <v>75</v>
      </c>
      <c r="G10" s="3" t="s">
        <v>76</v>
      </c>
      <c r="H10" s="3"/>
      <c r="I10" s="3" t="s">
        <v>18</v>
      </c>
      <c r="J10" s="3"/>
      <c r="K10" s="6" t="s">
        <v>77</v>
      </c>
    </row>
    <row r="11" customFormat="false" ht="23.85" hidden="false" customHeight="false" outlineLevel="0" collapsed="false">
      <c r="A11" s="3" t="s">
        <v>78</v>
      </c>
      <c r="B11" s="3" t="s">
        <v>79</v>
      </c>
      <c r="C11" s="3" t="s">
        <v>80</v>
      </c>
      <c r="D11" s="4" t="s">
        <v>81</v>
      </c>
      <c r="E11" s="3" t="s">
        <v>82</v>
      </c>
      <c r="F11" s="3" t="s">
        <v>83</v>
      </c>
      <c r="G11" s="3" t="s">
        <v>84</v>
      </c>
      <c r="H11" s="3"/>
      <c r="I11" s="3" t="s">
        <v>18</v>
      </c>
      <c r="J11" s="3"/>
      <c r="K11" s="6" t="s">
        <v>85</v>
      </c>
    </row>
    <row r="12" customFormat="false" ht="35.05" hidden="false" customHeight="false" outlineLevel="0" collapsed="false">
      <c r="A12" s="3" t="s">
        <v>86</v>
      </c>
      <c r="B12" s="3" t="s">
        <v>87</v>
      </c>
      <c r="C12" s="3" t="s">
        <v>88</v>
      </c>
      <c r="D12" s="4" t="s">
        <v>89</v>
      </c>
      <c r="E12" s="3" t="s">
        <v>90</v>
      </c>
      <c r="F12" s="3" t="s">
        <v>91</v>
      </c>
      <c r="G12" s="3" t="s">
        <v>92</v>
      </c>
      <c r="H12" s="3"/>
      <c r="I12" s="3" t="s">
        <v>18</v>
      </c>
      <c r="J12" s="3"/>
      <c r="K12" s="6" t="s">
        <v>93</v>
      </c>
    </row>
  </sheetData>
  <autoFilter ref="A1:K12"/>
  <conditionalFormatting sqref="I2:I12">
    <cfRule type="expression" priority="2" aboveAverage="0" equalAverage="0" bottom="0" percent="0" rank="0" text="" dxfId="7">
      <formula>$I2="Pass"</formula>
    </cfRule>
    <cfRule type="expression" priority="3" aboveAverage="0" equalAverage="0" bottom="0" percent="0" rank="0" text="" dxfId="8">
      <formula>$I2="Fail"</formula>
    </cfRule>
    <cfRule type="expression" priority="4" aboveAverage="0" equalAverage="0" bottom="0" percent="0" rank="0" text="" dxfId="9">
      <formula>$I2="Blocked"</formula>
    </cfRule>
  </conditionalFormatting>
  <dataValidations count="1">
    <dataValidation allowBlank="true" errorStyle="stop" operator="between" showDropDown="false" showErrorMessage="false" showInputMessage="false" sqref="I2:I12" type="list">
      <formula1>"Not Run,Pass,Fail,Blocked"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7" t="s">
        <v>94</v>
      </c>
      <c r="B1" s="8" t="s">
        <v>95</v>
      </c>
    </row>
    <row r="2" customFormat="false" ht="26.85" hidden="false" customHeight="false" outlineLevel="0" collapsed="false">
      <c r="A2" s="7" t="s">
        <v>96</v>
      </c>
      <c r="B2" s="8" t="s">
        <v>97</v>
      </c>
    </row>
    <row r="3" customFormat="false" ht="15" hidden="false" customHeight="false" outlineLevel="0" collapsed="false">
      <c r="A3" s="7" t="s">
        <v>98</v>
      </c>
      <c r="B3" s="8" t="s">
        <v>99</v>
      </c>
    </row>
    <row r="4" customFormat="false" ht="26.85" hidden="false" customHeight="false" outlineLevel="0" collapsed="false">
      <c r="A4" s="7" t="s">
        <v>100</v>
      </c>
      <c r="B4" s="8" t="s">
        <v>101</v>
      </c>
    </row>
    <row r="6" customFormat="false" ht="15" hidden="false" customHeight="false" outlineLevel="0" collapsed="false">
      <c r="A6" s="9" t="s">
        <v>8</v>
      </c>
      <c r="B6" s="9" t="s">
        <v>102</v>
      </c>
    </row>
    <row r="7" customFormat="false" ht="15" hidden="false" customHeight="false" outlineLevel="0" collapsed="false">
      <c r="A7" s="10" t="s">
        <v>103</v>
      </c>
      <c r="B7" s="10" t="n">
        <f aca="false">COUNTIF('Test Cases'!$I$2:$I$12,A7)</f>
        <v>0</v>
      </c>
    </row>
    <row r="8" customFormat="false" ht="15" hidden="false" customHeight="false" outlineLevel="0" collapsed="false">
      <c r="A8" s="10" t="s">
        <v>104</v>
      </c>
      <c r="B8" s="10" t="n">
        <f aca="false">COUNTIF('Test Cases'!$I$2:$I$12,A8)</f>
        <v>0</v>
      </c>
    </row>
    <row r="9" customFormat="false" ht="15" hidden="false" customHeight="false" outlineLevel="0" collapsed="false">
      <c r="A9" s="10" t="s">
        <v>105</v>
      </c>
      <c r="B9" s="10" t="n">
        <f aca="false">COUNTIF('Test Cases'!$I$2:$I$12,A9)</f>
        <v>0</v>
      </c>
    </row>
    <row r="10" customFormat="false" ht="15" hidden="false" customHeight="false" outlineLevel="0" collapsed="false">
      <c r="A10" s="10" t="s">
        <v>18</v>
      </c>
      <c r="B10" s="10" t="n">
        <f aca="false">COUNTIF('Test Cases'!$I$2:$I$12,A10)</f>
        <v>11</v>
      </c>
    </row>
    <row r="11" customFormat="false" ht="15" hidden="false" customHeight="false" outlineLevel="0" collapsed="false">
      <c r="A11" s="7" t="s">
        <v>106</v>
      </c>
      <c r="B11" s="7" t="n">
        <f aca="false">SUM(B7:B10)</f>
        <v>11</v>
      </c>
    </row>
    <row r="12" customFormat="false" ht="15" hidden="false" customHeight="false" outlineLevel="0" collapsed="false">
      <c r="A12" s="10" t="s">
        <v>107</v>
      </c>
      <c r="B12" s="10" t="n">
        <f aca="false">COUNTIF('Test Cases'!$K$2:$K$12,"LIKELY FAIL*")</f>
        <v>0</v>
      </c>
    </row>
    <row r="14" customFormat="false" ht="42" hidden="false" customHeight="true" outlineLevel="0" collapsed="false">
      <c r="A14" s="11" t="s">
        <v>108</v>
      </c>
      <c r="B14" s="12" t="s">
        <v>109</v>
      </c>
    </row>
    <row r="15" customFormat="false" ht="42" hidden="false" customHeight="true" outlineLevel="0" collapsed="false">
      <c r="A15" s="11" t="s">
        <v>108</v>
      </c>
      <c r="B15" s="12" t="s">
        <v>110</v>
      </c>
    </row>
    <row r="16" customFormat="false" ht="42" hidden="false" customHeight="true" outlineLevel="0" collapsed="false">
      <c r="A16" s="11" t="s">
        <v>108</v>
      </c>
      <c r="B16" s="12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2026-10-09T11:19:52Z</dcterms:created>
  <dc:creator>openpyxl</dc:creator>
  <dc:description/>
  <dc:language>en-US</dc:language>
  <cp:lastModifiedBy/>
  <dcterms:modified xsi:type="dcterms:W3CDTF">2026-10-09T11:19:52Z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